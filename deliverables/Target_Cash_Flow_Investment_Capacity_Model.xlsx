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&amp; Instructions" sheetId="1" state="visible" r:id="rId1"/>
    <sheet name="Executive Summary" sheetId="2" state="visible" r:id="rId2"/>
    <sheet name="Historical Financials" sheetId="3" state="visible" r:id="rId3"/>
    <sheet name="Filing-Vintage Comparison" sheetId="4" state="visible" r:id="rId4"/>
    <sheet name="Quarterly Cash Proof" sheetId="5" state="visible" r:id="rId5"/>
    <sheet name="Forecast Assumptions" sheetId="6" state="visible" r:id="rId6"/>
    <sheet name="Scenario Forecast" sheetId="7" state="visible" r:id="rId7"/>
    <sheet name="Cash-Flow Bridge" sheetId="8" state="visible" r:id="rId8"/>
    <sheet name="Investment Capacity" sheetId="9" state="visible" r:id="rId9"/>
    <sheet name="Capital Allocation" sheetId="10" state="visible" r:id="rId10"/>
    <sheet name="DCF Valuation" sheetId="11" state="visible" r:id="rId11"/>
    <sheet name="Sensitivities" sheetId="12" state="visible" r:id="rId12"/>
    <sheet name="Source &amp; Lineage" sheetId="13" state="visible" r:id="rId13"/>
    <sheet name="Validation Summary" sheetId="14" state="visible" r:id="rId14"/>
    <sheet name="Limitations" sheetId="15" state="visible" r:id="rId15"/>
  </sheets>
  <definedNames>
    <definedName name="_xlnm.Print_Area" localSheetId="1">'Executive Summary'!$A$1:$D$22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"/>
    <numFmt numFmtId="165" formatCode="0.0000"/>
    <numFmt numFmtId="166" formatCode="$0.00"/>
    <numFmt numFmtId="167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b val="1"/>
      <color rgb="00C00000"/>
      <sz val="12"/>
    </font>
    <font>
      <i val="1"/>
      <sz val="10"/>
    </font>
    <font>
      <b val="1"/>
      <color rgb="007F6000"/>
      <sz val="12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color rgb="007F6000"/>
      <sz val="10"/>
    </font>
    <font>
      <b val="1"/>
      <color rgb="007F6000"/>
    </font>
    <font>
      <i val="1"/>
      <color rgb="00C00000"/>
      <sz val="9"/>
    </font>
    <font>
      <b val="1"/>
      <color rgb="001F3864"/>
      <sz val="12"/>
    </font>
    <font>
      <i val="1"/>
      <color rgb="00C00000"/>
      <sz val="10"/>
    </font>
    <font>
      <i val="1"/>
      <sz val="9"/>
    </font>
    <font>
      <b val="1"/>
      <color rgb="001F3864"/>
      <sz val="11"/>
    </font>
    <font>
      <b val="1"/>
      <sz val="12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3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6" fontId="0" fillId="0" borderId="1" pivotButton="0" quotePrefix="0" xfId="0"/>
    <xf numFmtId="0" fontId="17" fillId="0" borderId="0" pivotButton="0" quotePrefix="0" xfId="0"/>
    <xf numFmtId="164" fontId="2" fillId="0" borderId="1" pivotButton="0" quotePrefix="0" xfId="0"/>
    <xf numFmtId="0" fontId="11" fillId="0" borderId="0" applyAlignment="1" pivotButton="0" quotePrefix="0" xfId="0">
      <alignment wrapText="1"/>
    </xf>
    <xf numFmtId="166" fontId="2" fillId="0" borderId="1" pivotButton="0" quotePrefix="0" xfId="0"/>
    <xf numFmtId="0" fontId="0" fillId="0" borderId="0" applyAlignment="1" pivotButton="0" quotePrefix="0" xfId="0">
      <alignment wrapText="1"/>
    </xf>
    <xf numFmtId="2" fontId="0" fillId="0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1" pivotButton="0" quotePrefix="0" xfId="0"/>
    <xf numFmtId="10" fontId="0" fillId="0" borderId="1" pivotButton="0" quotePrefix="0" xfId="0"/>
    <xf numFmtId="0" fontId="0" fillId="0" borderId="1" pivotButton="0" quotePrefix="0" xfId="0"/>
    <xf numFmtId="167" fontId="0" fillId="0" borderId="0" pivotButton="0" quotePrefix="0" xfId="0"/>
    <xf numFmtId="0" fontId="6" fillId="3" borderId="1" applyAlignment="1" pivotButton="0" quotePrefix="0" xfId="0">
      <alignment horizontal="center"/>
    </xf>
    <xf numFmtId="10" fontId="9" fillId="3" borderId="1" pivotButton="0" quotePrefix="0" xfId="0"/>
    <xf numFmtId="164" fontId="9" fillId="3" borderId="1" pivotButton="0" quotePrefix="0" xfId="0"/>
    <xf numFmtId="0" fontId="10" fillId="0" borderId="0" pivotButton="0" quotePrefix="0" xfId="0"/>
    <xf numFmtId="1" fontId="0" fillId="0" borderId="1" pivotButton="0" quotePrefix="0" xfId="0"/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2" fontId="9" fillId="3" borderId="1" pivotButton="0" quotePrefix="0" xfId="0"/>
    <xf numFmtId="165" fontId="0" fillId="0" borderId="1" pivotButton="0" quotePrefix="0" xfId="0"/>
    <xf numFmtId="0" fontId="16" fillId="0" borderId="0" pivotButton="0" quotePrefix="0" xfId="0"/>
    <xf numFmtId="166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FY2030 Remaining Deployable Headroom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Summary'!B24</f>
            </strRef>
          </tx>
          <spPr>
            <a:ln>
              <a:prstDash val="solid"/>
            </a:ln>
          </spPr>
          <cat>
            <numRef>
              <f>'Executive Summary'!$A$25:$A$27</f>
            </numRef>
          </cat>
          <val>
            <numRef>
              <f>'Executive Summary'!$B$25:$B$27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0" customWidth="1" min="3" max="3"/>
  </cols>
  <sheetData>
    <row r="1" ht="28" customHeight="1">
      <c r="A1" s="1" t="inlineStr">
        <is>
          <t>Target Corporation -- Cash Flow &amp; Investment Capacity Decision Cockpit</t>
        </is>
      </c>
    </row>
    <row r="3">
      <c r="B3" s="2" t="inlineStr">
        <is>
          <t>Prepared</t>
        </is>
      </c>
      <c r="C3" s="3" t="inlineStr">
        <is>
          <t>2026-09-16</t>
        </is>
      </c>
    </row>
    <row r="4">
      <c r="B4" s="2" t="inlineStr">
        <is>
          <t>Information cutoff</t>
        </is>
      </c>
      <c r="C4" s="3" t="inlineStr">
        <is>
          <t>2026-03-11 (FY2025 10-K, accession 0000027419-26-000016)</t>
        </is>
      </c>
    </row>
    <row r="5">
      <c r="B5" s="2" t="inlineStr">
        <is>
          <t>Scope</t>
        </is>
      </c>
      <c r="C5" s="3" t="inlineStr">
        <is>
          <t>Independent, public-data model built entirely from SEC XBRL filings -- no analyst estimates, no information after the cutoff.</t>
        </is>
      </c>
    </row>
    <row r="7">
      <c r="B7" s="4" t="inlineStr">
        <is>
          <t>IMPORTANT DISCLAIMER</t>
        </is>
      </c>
    </row>
    <row r="8" ht="48" customHeight="1">
      <c r="B8" s="5" t="inlineStr">
        <is>
          <t>This workbook is a scenario-based analytical model, NOT investment advice, NOT a price target, and NOT a prediction of Target's actual future results or stock price. DCF outputs (Sheet 11) use illustrative WACC/terminal-growth inputs -- see Sheet 15 (Limitations).</t>
        </is>
      </c>
    </row>
    <row r="10">
      <c r="B10" s="2" t="inlineStr">
        <is>
          <t>How to use this workbook</t>
        </is>
      </c>
    </row>
    <row r="11" ht="28" customHeight="1">
      <c r="B11" s="6" t="inlineStr">
        <is>
          <t>1. Sheet 6 (Forecast Assumptions) has a Scenario Selector dropdown (cell C2) -- choose Base, Upside, or Downside.</t>
        </is>
      </c>
    </row>
    <row r="12" ht="28" customHeight="1">
      <c r="B12" s="6" t="inlineStr">
        <is>
          <t>2. Sheets 7-11 (Scenario Forecast through DCF Valuation) recalculate LIVE from that selection -- every number is a real Excel formula traceable back to Sheet 6's input cells.</t>
        </is>
      </c>
    </row>
    <row r="13" ht="28" customHeight="1">
      <c r="B13" s="6" t="inlineStr">
        <is>
          <t>3. Yellow-filled cells are editable inputs (assumptions). White cells are formulas -- do not overtype them, or traceability is lost.</t>
        </is>
      </c>
    </row>
    <row r="14" ht="28" customHeight="1">
      <c r="B14" s="6" t="inlineStr">
        <is>
          <t>4. Sheets 3-5, 12-15 are reference/appendix data (historical facts, sensitivity dry-runs, source lineage, validation results, limitations) -- static, regenerated by the project's Python pipeline, not live Excel formulas.</t>
        </is>
      </c>
    </row>
    <row r="15" ht="28" customHeight="1">
      <c r="B15" s="6" t="inlineStr">
        <is>
          <t>5. A static 'All-Scenario Comparison' table appears below the live forecast on Sheets 7 and 11 for side-by-side reference across all 3 scenarios at once.</t>
        </is>
      </c>
    </row>
    <row r="17">
      <c r="B17" s="2" t="inlineStr">
        <is>
          <t>Sheet index</t>
        </is>
      </c>
    </row>
    <row r="18">
      <c r="B18" s="7" t="inlineStr">
        <is>
          <t>1. Cover &amp; Instructions</t>
        </is>
      </c>
    </row>
    <row r="19">
      <c r="B19" s="7" t="inlineStr">
        <is>
          <t>2. Executive Summary</t>
        </is>
      </c>
    </row>
    <row r="20">
      <c r="B20" s="7" t="inlineStr">
        <is>
          <t>3. Historical Financials</t>
        </is>
      </c>
    </row>
    <row r="21">
      <c r="B21" s="7" t="inlineStr">
        <is>
          <t>4. Filing-Vintage Comparison</t>
        </is>
      </c>
    </row>
    <row r="22">
      <c r="B22" s="7" t="inlineStr">
        <is>
          <t>5. Quarterly Cash Proof</t>
        </is>
      </c>
    </row>
    <row r="23">
      <c r="B23" s="7" t="inlineStr">
        <is>
          <t>6. Forecast Assumptions</t>
        </is>
      </c>
    </row>
    <row r="24">
      <c r="B24" s="7" t="inlineStr">
        <is>
          <t>7. Scenario Forecast</t>
        </is>
      </c>
    </row>
    <row r="25">
      <c r="B25" s="7" t="inlineStr">
        <is>
          <t>8. Cash-Flow Bridge</t>
        </is>
      </c>
    </row>
    <row r="26">
      <c r="B26" s="7" t="inlineStr">
        <is>
          <t>9. Investment Capacity</t>
        </is>
      </c>
    </row>
    <row r="27">
      <c r="B27" s="7" t="inlineStr">
        <is>
          <t>10. Capital Allocation</t>
        </is>
      </c>
    </row>
    <row r="28">
      <c r="B28" s="7" t="inlineStr">
        <is>
          <t>11. DCF Valuation</t>
        </is>
      </c>
    </row>
    <row r="29">
      <c r="B29" s="7" t="inlineStr">
        <is>
          <t>12. Sensitivities</t>
        </is>
      </c>
    </row>
    <row r="30">
      <c r="B30" s="7" t="inlineStr">
        <is>
          <t>13. Source &amp; Lineage</t>
        </is>
      </c>
    </row>
    <row r="31">
      <c r="B31" s="7" t="inlineStr">
        <is>
          <t>14. Validation Summary</t>
        </is>
      </c>
    </row>
    <row r="32">
      <c r="B32" s="7" t="inlineStr">
        <is>
          <t>15. Limitations</t>
        </is>
      </c>
    </row>
  </sheetData>
  <mergeCells count="7">
    <mergeCell ref="B13:C13"/>
    <mergeCell ref="B15:C15"/>
    <mergeCell ref="A1:C1"/>
    <mergeCell ref="B11:C11"/>
    <mergeCell ref="B14:C14"/>
    <mergeCell ref="B8:C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Executive Summary</t>
        </is>
      </c>
    </row>
    <row r="2">
      <c r="A2" s="8" t="inlineStr">
        <is>
          <t>Scenario-based model. NOT investment advice, a price target, or a prediction. See Sheet 15 for limitations.</t>
        </is>
      </c>
    </row>
    <row r="4">
      <c r="A4" s="9" t="inlineStr">
        <is>
          <t>Metric (FY2030 unless noted)</t>
        </is>
      </c>
      <c r="B4" s="9" t="inlineStr">
        <is>
          <t>Base</t>
        </is>
      </c>
      <c r="C4" s="9" t="inlineStr">
        <is>
          <t>Upside</t>
        </is>
      </c>
      <c r="D4" s="9" t="inlineStr">
        <is>
          <t>Downside</t>
        </is>
      </c>
    </row>
    <row r="5">
      <c r="A5" s="7" t="inlineStr">
        <is>
          <t>Revenue ($M)</t>
        </is>
      </c>
      <c r="B5" s="10" t="n">
        <v>110124.83</v>
      </c>
      <c r="C5" s="10" t="n">
        <v>121468.74</v>
      </c>
      <c r="D5" s="10" t="n">
        <v>92321.21000000001</v>
      </c>
    </row>
    <row r="6">
      <c r="A6" s="7" t="inlineStr">
        <is>
          <t>Net Income ($M)</t>
        </is>
      </c>
      <c r="B6" s="10" t="n">
        <v>3636.58</v>
      </c>
      <c r="C6" s="10" t="n">
        <v>5556.31</v>
      </c>
      <c r="D6" s="10" t="n">
        <v>1234.99</v>
      </c>
    </row>
    <row r="7">
      <c r="A7" s="7" t="inlineStr">
        <is>
          <t>Diluted EPS ($)</t>
        </is>
      </c>
      <c r="B7" s="11" t="n">
        <v>8.18</v>
      </c>
      <c r="C7" s="11" t="n">
        <v>13.15</v>
      </c>
      <c r="D7" s="11" t="n">
        <v>2.71</v>
      </c>
    </row>
    <row r="8">
      <c r="A8" s="7" t="inlineStr">
        <is>
          <t>CFO ($M)</t>
        </is>
      </c>
      <c r="B8" s="10" t="n">
        <v>7765.83</v>
      </c>
      <c r="C8" s="10" t="n">
        <v>10263.59</v>
      </c>
      <c r="D8" s="10" t="n">
        <v>4667.64</v>
      </c>
    </row>
    <row r="9">
      <c r="A9" s="7" t="inlineStr">
        <is>
          <t>FCF ($M)</t>
        </is>
      </c>
      <c r="B9" s="10" t="n">
        <v>3801.34</v>
      </c>
      <c r="C9" s="10" t="n">
        <v>5040.43</v>
      </c>
      <c r="D9" s="10" t="n">
        <v>2082.64</v>
      </c>
    </row>
    <row r="11">
      <c r="A11" s="12" t="inlineStr">
        <is>
          <t>Corrected Capacity Taxonomy (FY2030) -- see Sheet 9 for full detail</t>
        </is>
      </c>
    </row>
    <row r="12">
      <c r="A12" s="2" t="inlineStr">
        <is>
          <t>Opening Excess Liquidity ($M, a STOCK -- never 'generated')</t>
        </is>
      </c>
      <c r="B12" s="13" t="n">
        <v>5424.25</v>
      </c>
      <c r="C12" s="13" t="n">
        <v>2217.5</v>
      </c>
      <c r="D12" s="13" t="n">
        <v>6157.88</v>
      </c>
    </row>
    <row r="13">
      <c r="A13" s="2" t="inlineStr">
        <is>
          <t>Self-Funded Capacity Generated ($M)</t>
        </is>
      </c>
      <c r="B13" s="13" t="n">
        <v>1590.77</v>
      </c>
      <c r="C13" s="13" t="n">
        <v>2024.44</v>
      </c>
      <c r="D13" s="13" t="n">
        <v>29.64</v>
      </c>
    </row>
    <row r="14">
      <c r="A14" s="2" t="inlineStr">
        <is>
          <t>Debt-Funded Capacity ($M, net of repayment)</t>
        </is>
      </c>
      <c r="B14" s="13" t="n">
        <v>0</v>
      </c>
      <c r="C14" s="13" t="n">
        <v>0</v>
      </c>
      <c r="D14" s="13" t="n">
        <v>200</v>
      </c>
    </row>
    <row r="15">
      <c r="A15" s="2" t="inlineStr">
        <is>
          <t>Discretionary Deployment ($M)</t>
        </is>
      </c>
      <c r="B15" s="13" t="n">
        <v>636.3099999999999</v>
      </c>
      <c r="C15" s="13" t="n">
        <v>1498.44</v>
      </c>
      <c r="D15" s="13" t="n">
        <v>0</v>
      </c>
    </row>
    <row r="16">
      <c r="A16" s="2" t="inlineStr">
        <is>
          <t>Remaining Deployable Headroom ($M)</t>
        </is>
      </c>
      <c r="B16" s="13" t="n">
        <v>6378.71</v>
      </c>
      <c r="C16" s="13" t="n">
        <v>2043.5</v>
      </c>
      <c r="D16" s="13" t="n">
        <v>6387.52</v>
      </c>
    </row>
    <row r="18" ht="28" customHeight="1">
      <c r="A18" s="14" t="inlineStr">
        <is>
          <t>Note: a higher-revenue scenario can show LOWER remaining headroom -- it may be deploying far more into buybacks/deleveraging (Upside), not generating less. See the FY2030 scenario bridges in docs/investment_capacity_correction_evidence.md and Sheet 9.</t>
        </is>
      </c>
    </row>
    <row r="19">
      <c r="A19" s="2" t="inlineStr">
        <is>
          <t>Implied DCF Value/Share ($)</t>
        </is>
      </c>
      <c r="B19" s="15" t="n">
        <v>107.29</v>
      </c>
      <c r="C19" s="15" t="n">
        <v>138.32</v>
      </c>
      <c r="D19" s="15" t="n">
        <v>61.55</v>
      </c>
    </row>
    <row r="21">
      <c r="A21" s="2" t="inlineStr">
        <is>
          <t>Key question answered:</t>
        </is>
      </c>
    </row>
    <row r="22" ht="30" customHeight="1">
      <c r="A22" s="16" t="inlineStr">
        <is>
          <t>How much capital can Target safely deploy after funding operations, CapEx, dividends, minimum liquidity, and debt obligations? -- see Sheet 9 (Investment Capacity) for the full FY2026-FY2030 build for the selected scenario.</t>
        </is>
      </c>
    </row>
    <row r="24">
      <c r="A24" t="inlineStr">
        <is>
          <t>Scenario</t>
        </is>
      </c>
      <c r="B24" t="inlineStr">
        <is>
          <t>Remaining Deployable Headroom, FY2030 ($M)</t>
        </is>
      </c>
    </row>
    <row r="25">
      <c r="A25" t="inlineStr">
        <is>
          <t>Base</t>
        </is>
      </c>
      <c r="B25" t="n">
        <v>6378.7</v>
      </c>
    </row>
    <row r="26">
      <c r="A26" t="inlineStr">
        <is>
          <t>Upside</t>
        </is>
      </c>
      <c r="B26" t="n">
        <v>2043.5</v>
      </c>
    </row>
    <row r="27">
      <c r="A27" t="inlineStr">
        <is>
          <t>Downside</t>
        </is>
      </c>
      <c r="B27" t="n">
        <v>6387.5</v>
      </c>
    </row>
  </sheetData>
  <mergeCells count="4">
    <mergeCell ref="A22:D22"/>
    <mergeCell ref="A1:D1"/>
    <mergeCell ref="A18:D18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F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Historical Financials, FY2021-FY2025 (latest_restated, ACTUAL)</t>
        </is>
      </c>
    </row>
    <row r="3">
      <c r="A3" s="9" t="inlineStr">
        <is>
          <t>Line Item</t>
        </is>
      </c>
      <c r="B3" s="9" t="inlineStr">
        <is>
          <t>FY2021</t>
        </is>
      </c>
      <c r="C3" s="9" t="inlineStr">
        <is>
          <t>FY2022</t>
        </is>
      </c>
      <c r="D3" s="9" t="inlineStr">
        <is>
          <t>FY2023</t>
        </is>
      </c>
      <c r="E3" s="9" t="inlineStr">
        <is>
          <t>FY2024</t>
        </is>
      </c>
      <c r="F3" s="9" t="inlineStr">
        <is>
          <t>FY2025</t>
        </is>
      </c>
    </row>
    <row r="4">
      <c r="A4" s="7" t="inlineStr">
        <is>
          <t>Revenue</t>
        </is>
      </c>
      <c r="B4" s="10" t="n">
        <v>106005</v>
      </c>
      <c r="C4" s="10" t="n">
        <v>109120</v>
      </c>
      <c r="D4" s="10" t="n">
        <v>107412</v>
      </c>
      <c r="E4" s="10" t="n">
        <v>106566</v>
      </c>
      <c r="F4" s="10" t="n">
        <v>104780</v>
      </c>
    </row>
    <row r="5">
      <c r="A5" s="7" t="inlineStr">
        <is>
          <t>Cost of Sales</t>
        </is>
      </c>
      <c r="B5" s="10" t="n">
        <v>74963</v>
      </c>
      <c r="C5" s="10" t="n">
        <v>82306</v>
      </c>
      <c r="D5" s="10" t="n">
        <v>77828</v>
      </c>
      <c r="E5" s="10" t="n">
        <v>76502</v>
      </c>
      <c r="F5" s="10" t="n">
        <v>75511</v>
      </c>
    </row>
    <row r="6">
      <c r="A6" s="7" t="inlineStr">
        <is>
          <t>Gross Profit</t>
        </is>
      </c>
      <c r="B6" s="10" t="n">
        <v>31042</v>
      </c>
      <c r="C6" s="10" t="n">
        <v>26814</v>
      </c>
      <c r="D6" s="10" t="n">
        <v>29584</v>
      </c>
      <c r="E6" s="10" t="n">
        <v>30064</v>
      </c>
      <c r="F6" s="10" t="n">
        <v>29269</v>
      </c>
    </row>
    <row r="7">
      <c r="A7" s="7" t="inlineStr">
        <is>
          <t>SG&amp;A</t>
        </is>
      </c>
      <c r="B7" s="10" t="n">
        <v>19752</v>
      </c>
      <c r="C7" s="10" t="n">
        <v>20581</v>
      </c>
      <c r="D7" s="10" t="n">
        <v>21462</v>
      </c>
      <c r="E7" s="10" t="n">
        <v>21969</v>
      </c>
      <c r="F7" s="10" t="n">
        <v>21535</v>
      </c>
    </row>
    <row r="8">
      <c r="A8" s="7" t="inlineStr">
        <is>
          <t>D&amp;A (Opex)</t>
        </is>
      </c>
      <c r="B8" s="10" t="n">
        <v>2344</v>
      </c>
      <c r="C8" s="10" t="n">
        <v>2385</v>
      </c>
      <c r="D8" s="10" t="n">
        <v>2415</v>
      </c>
      <c r="E8" s="10" t="n">
        <v>2529</v>
      </c>
      <c r="F8" s="10" t="n">
        <v>2617</v>
      </c>
    </row>
    <row r="9">
      <c r="A9" s="7" t="inlineStr">
        <is>
          <t>Operating Income</t>
        </is>
      </c>
      <c r="B9" s="10" t="n">
        <v>8946</v>
      </c>
      <c r="C9" s="10" t="n">
        <v>3848</v>
      </c>
      <c r="D9" s="10" t="n">
        <v>5707</v>
      </c>
      <c r="E9" s="10" t="n">
        <v>5566</v>
      </c>
      <c r="F9" s="10" t="n">
        <v>5117</v>
      </c>
    </row>
    <row r="10">
      <c r="A10" s="7" t="inlineStr">
        <is>
          <t>Interest Expense</t>
        </is>
      </c>
      <c r="B10" s="10" t="n">
        <v>421</v>
      </c>
      <c r="C10" s="10" t="n">
        <v>478</v>
      </c>
      <c r="D10" s="10" t="n">
        <v>502</v>
      </c>
      <c r="E10" s="10" t="n">
        <v>411</v>
      </c>
      <c r="F10" s="10" t="n">
        <v>445</v>
      </c>
    </row>
    <row r="11">
      <c r="A11" s="7" t="inlineStr">
        <is>
          <t>Net Other Income</t>
        </is>
      </c>
      <c r="B11" s="10" t="n">
        <v>382</v>
      </c>
      <c r="C11" s="10" t="n">
        <v>48</v>
      </c>
      <c r="D11" s="10" t="n">
        <v>92</v>
      </c>
      <c r="E11" s="10" t="n">
        <v>106</v>
      </c>
      <c r="F11" s="10" t="n">
        <v>95</v>
      </c>
    </row>
    <row r="12">
      <c r="A12" s="7" t="inlineStr">
        <is>
          <t>Pretax Income</t>
        </is>
      </c>
      <c r="B12" s="10" t="n">
        <v>8907</v>
      </c>
      <c r="C12" s="10" t="n">
        <v>3418</v>
      </c>
      <c r="D12" s="10" t="n">
        <v>5297</v>
      </c>
      <c r="E12" s="10" t="n">
        <v>5261</v>
      </c>
      <c r="F12" s="10" t="n">
        <v>4767</v>
      </c>
    </row>
    <row r="13">
      <c r="A13" s="7" t="inlineStr">
        <is>
          <t>Income Tax Expense</t>
        </is>
      </c>
      <c r="B13" s="10" t="n">
        <v>1961</v>
      </c>
      <c r="C13" s="10" t="n">
        <v>638</v>
      </c>
      <c r="D13" s="10" t="n">
        <v>1159</v>
      </c>
      <c r="E13" s="10" t="n">
        <v>1170</v>
      </c>
      <c r="F13" s="10" t="n">
        <v>1062</v>
      </c>
    </row>
    <row r="14">
      <c r="A14" s="7" t="inlineStr">
        <is>
          <t>Net Income</t>
        </is>
      </c>
      <c r="B14" s="10" t="n">
        <v>6946</v>
      </c>
      <c r="C14" s="10" t="n">
        <v>2780</v>
      </c>
      <c r="D14" s="10" t="n">
        <v>4138</v>
      </c>
      <c r="E14" s="10" t="n">
        <v>4091</v>
      </c>
      <c r="F14" s="10" t="n">
        <v>3705</v>
      </c>
    </row>
    <row r="15">
      <c r="A15" s="7" t="inlineStr">
        <is>
          <t>Diluted EPS ($)</t>
        </is>
      </c>
      <c r="B15" s="17" t="n">
        <v>14.1</v>
      </c>
      <c r="C15" s="17" t="n">
        <v>5.98</v>
      </c>
      <c r="D15" s="17" t="n">
        <v>8.94</v>
      </c>
      <c r="E15" s="17" t="n">
        <v>8.859999999999999</v>
      </c>
      <c r="F15" s="17" t="n">
        <v>8.130000000000001</v>
      </c>
    </row>
    <row r="16">
      <c r="A16" s="7" t="inlineStr">
        <is>
          <t>Diluted Shares (M)</t>
        </is>
      </c>
      <c r="B16" s="10" t="n">
        <v>492.7</v>
      </c>
      <c r="C16" s="10" t="n">
        <v>464.7</v>
      </c>
      <c r="D16" s="10" t="n">
        <v>462.8</v>
      </c>
      <c r="E16" s="10" t="n">
        <v>461.8</v>
      </c>
      <c r="F16" s="10" t="n">
        <v>455.6</v>
      </c>
    </row>
    <row r="17">
      <c r="A17" s="7" t="inlineStr">
        <is>
          <t>CFO</t>
        </is>
      </c>
      <c r="B17" s="10" t="n">
        <v>8625</v>
      </c>
      <c r="C17" s="10" t="n">
        <v>4018</v>
      </c>
      <c r="D17" s="10" t="n">
        <v>8621</v>
      </c>
      <c r="E17" s="10" t="n">
        <v>7367</v>
      </c>
      <c r="F17" s="10" t="n">
        <v>6562</v>
      </c>
    </row>
    <row r="18">
      <c r="A18" s="7" t="inlineStr">
        <is>
          <t>CapEx (PP&amp;E acquisitions)</t>
        </is>
      </c>
      <c r="B18" s="10" t="n">
        <v>3544</v>
      </c>
      <c r="C18" s="10" t="n">
        <v>5528</v>
      </c>
      <c r="D18" s="10" t="n">
        <v>4806</v>
      </c>
      <c r="E18" s="10" t="n">
        <v>2891</v>
      </c>
      <c r="F18" s="10" t="n">
        <v>3727</v>
      </c>
    </row>
    <row r="19">
      <c r="A19" s="7" t="inlineStr">
        <is>
          <t>FCF (CFO - CapEx)</t>
        </is>
      </c>
      <c r="B19" s="10" t="n">
        <v>5081</v>
      </c>
      <c r="C19" s="10" t="n">
        <v>-1510</v>
      </c>
      <c r="D19" s="10" t="n">
        <v>3815</v>
      </c>
      <c r="E19" s="10" t="n">
        <v>4476</v>
      </c>
      <c r="F19" s="10" t="n">
        <v>2835</v>
      </c>
    </row>
    <row r="20">
      <c r="A20" s="7" t="inlineStr">
        <is>
          <t>Total Investing Cash Flow</t>
        </is>
      </c>
      <c r="B20" s="10" t="n">
        <v>-3154</v>
      </c>
      <c r="C20" s="10" t="n">
        <v>-5504</v>
      </c>
      <c r="D20" s="10" t="n">
        <v>-4760</v>
      </c>
      <c r="E20" s="10" t="n">
        <v>-2860</v>
      </c>
      <c r="F20" s="10" t="n">
        <v>-3649</v>
      </c>
    </row>
    <row r="21">
      <c r="A21" s="7" t="inlineStr">
        <is>
          <t>Financing Cash Flow</t>
        </is>
      </c>
      <c r="B21" s="10" t="n">
        <v>-8071</v>
      </c>
      <c r="C21" s="10" t="n">
        <v>-2196</v>
      </c>
      <c r="D21" s="10" t="n">
        <v>-2285</v>
      </c>
      <c r="E21" s="10" t="n">
        <v>-3550</v>
      </c>
      <c r="F21" s="10" t="n">
        <v>-2187</v>
      </c>
    </row>
    <row r="22">
      <c r="A22" s="7" t="inlineStr">
        <is>
          <t>Dividends Paid</t>
        </is>
      </c>
      <c r="B22" s="10" t="n">
        <v>1548</v>
      </c>
      <c r="C22" s="10" t="n">
        <v>1836</v>
      </c>
      <c r="D22" s="10" t="n">
        <v>2011</v>
      </c>
      <c r="E22" s="10" t="n">
        <v>2046</v>
      </c>
      <c r="F22" s="10" t="n">
        <v>2053</v>
      </c>
    </row>
    <row r="23">
      <c r="A23" s="7" t="inlineStr">
        <is>
          <t>Share Repurchases</t>
        </is>
      </c>
      <c r="B23" s="10" t="n">
        <v>7188</v>
      </c>
      <c r="C23" s="10" t="n">
        <v>2646</v>
      </c>
      <c r="D23" s="10" t="n">
        <v>0</v>
      </c>
      <c r="E23" s="10" t="n">
        <v>1007</v>
      </c>
      <c r="F23" s="10" t="n">
        <v>408</v>
      </c>
    </row>
    <row r="24">
      <c r="A24" s="7" t="inlineStr">
        <is>
          <t>Cash &amp; Equivalents</t>
        </is>
      </c>
      <c r="B24" s="10" t="n">
        <v>5911</v>
      </c>
      <c r="C24" s="10" t="n">
        <v>2229</v>
      </c>
      <c r="D24" s="10" t="n">
        <v>3805</v>
      </c>
      <c r="E24" s="10" t="n">
        <v>4762</v>
      </c>
      <c r="F24" s="10" t="n">
        <v>5488</v>
      </c>
    </row>
    <row r="25">
      <c r="A25" s="7" t="inlineStr">
        <is>
          <t>Total Debt (GAAP, excl. finance leases)</t>
        </is>
      </c>
      <c r="B25" s="10" t="n">
        <v>11645</v>
      </c>
      <c r="C25" s="10" t="n">
        <v>14067</v>
      </c>
      <c r="D25" s="10" t="n">
        <v>14025</v>
      </c>
      <c r="E25" s="10" t="n">
        <v>13779</v>
      </c>
      <c r="F25" s="10" t="n">
        <v>14343</v>
      </c>
    </row>
    <row r="27">
      <c r="A27" s="18" t="inlineStr">
        <is>
          <t>Note: FY2023 was a 53-week fiscal year. All figures are the LATEST-RESTATED analytical view -- see Sheet 4 for the as-originally-filed vs. restated comparison.</t>
        </is>
      </c>
    </row>
  </sheetData>
  <mergeCells count="2">
    <mergeCell ref="A1:F1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Filing-Vintage Comparison: As-Originally-Filed vs. Latest-Restated</t>
        </is>
      </c>
    </row>
    <row r="2" ht="30" customHeight="1">
      <c r="A2" s="19" t="inlineStr">
        <is>
          <t>Target reclassified certain distribution-center costs between Cost of Sales and SG&amp;A in later filings (disclosed reclassification, FY2022-FY2023 restated views differ from the originally-filed views). Revenue is identical in both views every year -- only the COGS/SG&amp;A split moved.</t>
        </is>
      </c>
    </row>
    <row r="4">
      <c r="A4" s="9" t="inlineStr">
        <is>
          <t>Metric</t>
        </is>
      </c>
      <c r="B4" s="9" t="inlineStr">
        <is>
          <t>FY</t>
        </is>
      </c>
      <c r="C4" s="9" t="inlineStr">
        <is>
          <t>As-Originally-Filed</t>
        </is>
      </c>
      <c r="D4" s="9" t="inlineStr">
        <is>
          <t>Latest-Restated</t>
        </is>
      </c>
      <c r="E4" s="9" t="inlineStr">
        <is>
          <t>Difference</t>
        </is>
      </c>
      <c r="F4" s="9" t="inlineStr">
        <is>
          <t>% Change</t>
        </is>
      </c>
      <c r="G4" s="9" t="inlineStr">
        <is>
          <t>Reclassified?</t>
        </is>
      </c>
    </row>
    <row r="5">
      <c r="A5" s="20" t="inlineStr">
        <is>
          <t>Revenue</t>
        </is>
      </c>
      <c r="B5" s="20" t="n">
        <v>2021</v>
      </c>
      <c r="C5" s="10" t="n">
        <v>106005</v>
      </c>
      <c r="D5" s="10" t="n">
        <v>106005</v>
      </c>
      <c r="E5" s="10" t="n">
        <v>0</v>
      </c>
      <c r="F5" s="21" t="n">
        <v>0</v>
      </c>
      <c r="G5" s="22" t="inlineStr">
        <is>
          <t>no</t>
        </is>
      </c>
    </row>
    <row r="6">
      <c r="A6" s="20" t="inlineStr">
        <is>
          <t>Revenue</t>
        </is>
      </c>
      <c r="B6" s="20" t="n">
        <v>2022</v>
      </c>
      <c r="C6" s="10" t="n">
        <v>109120</v>
      </c>
      <c r="D6" s="10" t="n">
        <v>109120</v>
      </c>
      <c r="E6" s="10" t="n">
        <v>0</v>
      </c>
      <c r="F6" s="21" t="n">
        <v>0</v>
      </c>
      <c r="G6" s="22" t="inlineStr">
        <is>
          <t>no</t>
        </is>
      </c>
    </row>
    <row r="7">
      <c r="A7" s="20" t="inlineStr">
        <is>
          <t>Revenue</t>
        </is>
      </c>
      <c r="B7" s="20" t="n">
        <v>2023</v>
      </c>
      <c r="C7" s="10" t="n">
        <v>107412</v>
      </c>
      <c r="D7" s="10" t="n">
        <v>107412</v>
      </c>
      <c r="E7" s="10" t="n">
        <v>0</v>
      </c>
      <c r="F7" s="21" t="n">
        <v>0</v>
      </c>
      <c r="G7" s="22" t="inlineStr">
        <is>
          <t>no</t>
        </is>
      </c>
    </row>
    <row r="8">
      <c r="A8" s="20" t="inlineStr">
        <is>
          <t>Revenue</t>
        </is>
      </c>
      <c r="B8" s="20" t="n">
        <v>2024</v>
      </c>
      <c r="C8" s="10" t="n">
        <v>106566</v>
      </c>
      <c r="D8" s="10" t="n">
        <v>106566</v>
      </c>
      <c r="E8" s="10" t="n">
        <v>0</v>
      </c>
      <c r="F8" s="21" t="n">
        <v>0</v>
      </c>
      <c r="G8" s="22" t="inlineStr">
        <is>
          <t>no</t>
        </is>
      </c>
    </row>
    <row r="9">
      <c r="A9" s="20" t="inlineStr">
        <is>
          <t>Revenue</t>
        </is>
      </c>
      <c r="B9" s="20" t="n">
        <v>2025</v>
      </c>
      <c r="C9" s="10" t="n">
        <v>104780</v>
      </c>
      <c r="D9" s="10" t="n">
        <v>104780</v>
      </c>
      <c r="E9" s="10" t="n">
        <v>0</v>
      </c>
      <c r="F9" s="21" t="n">
        <v>0</v>
      </c>
      <c r="G9" s="22" t="inlineStr">
        <is>
          <t>no</t>
        </is>
      </c>
    </row>
    <row r="10">
      <c r="A10" s="20" t="inlineStr">
        <is>
          <t>Cost of Sales</t>
        </is>
      </c>
      <c r="B10" s="20" t="n">
        <v>2021</v>
      </c>
      <c r="C10" s="10" t="n">
        <v>74963</v>
      </c>
      <c r="D10" s="10" t="n">
        <v>74963</v>
      </c>
      <c r="E10" s="10" t="n">
        <v>0</v>
      </c>
      <c r="F10" s="21" t="n">
        <v>0</v>
      </c>
      <c r="G10" s="22" t="inlineStr">
        <is>
          <t>no</t>
        </is>
      </c>
    </row>
    <row r="11">
      <c r="A11" s="20" t="inlineStr">
        <is>
          <t>Cost of Sales</t>
        </is>
      </c>
      <c r="B11" s="20" t="n">
        <v>2022</v>
      </c>
      <c r="C11" s="10" t="n">
        <v>82229</v>
      </c>
      <c r="D11" s="10" t="n">
        <v>82306</v>
      </c>
      <c r="E11" s="10" t="n">
        <v>77</v>
      </c>
      <c r="F11" s="21" t="n">
        <v>0.0009364092959904658</v>
      </c>
      <c r="G11" s="22" t="inlineStr">
        <is>
          <t>YES</t>
        </is>
      </c>
    </row>
    <row r="12">
      <c r="A12" s="20" t="inlineStr">
        <is>
          <t>Cost of Sales</t>
        </is>
      </c>
      <c r="B12" s="20" t="n">
        <v>2023</v>
      </c>
      <c r="C12" s="10" t="n">
        <v>77736</v>
      </c>
      <c r="D12" s="10" t="n">
        <v>77828</v>
      </c>
      <c r="E12" s="10" t="n">
        <v>92</v>
      </c>
      <c r="F12" s="21" t="n">
        <v>0.001183492847586704</v>
      </c>
      <c r="G12" s="22" t="inlineStr">
        <is>
          <t>YES</t>
        </is>
      </c>
    </row>
    <row r="13">
      <c r="A13" s="20" t="inlineStr">
        <is>
          <t>Cost of Sales</t>
        </is>
      </c>
      <c r="B13" s="20" t="n">
        <v>2024</v>
      </c>
      <c r="C13" s="10" t="n">
        <v>76502</v>
      </c>
      <c r="D13" s="10" t="n">
        <v>76502</v>
      </c>
      <c r="E13" s="10" t="n">
        <v>0</v>
      </c>
      <c r="F13" s="21" t="n">
        <v>0</v>
      </c>
      <c r="G13" s="22" t="inlineStr">
        <is>
          <t>no</t>
        </is>
      </c>
    </row>
    <row r="14">
      <c r="A14" s="20" t="inlineStr">
        <is>
          <t>Cost of Sales</t>
        </is>
      </c>
      <c r="B14" s="20" t="n">
        <v>2025</v>
      </c>
      <c r="C14" s="10" t="n">
        <v>75511</v>
      </c>
      <c r="D14" s="10" t="n">
        <v>75511</v>
      </c>
      <c r="E14" s="10" t="n">
        <v>0</v>
      </c>
      <c r="F14" s="21" t="n">
        <v>0</v>
      </c>
      <c r="G14" s="22" t="inlineStr">
        <is>
          <t>no</t>
        </is>
      </c>
    </row>
    <row r="15">
      <c r="A15" s="20" t="inlineStr">
        <is>
          <t>Gross Profit</t>
        </is>
      </c>
      <c r="B15" s="20" t="n">
        <v>2021</v>
      </c>
      <c r="C15" s="10" t="n">
        <v>31042</v>
      </c>
      <c r="D15" s="10" t="n">
        <v>31042</v>
      </c>
      <c r="E15" s="10" t="n">
        <v>0</v>
      </c>
      <c r="F15" s="21" t="n">
        <v>0</v>
      </c>
      <c r="G15" s="22" t="inlineStr">
        <is>
          <t>no</t>
        </is>
      </c>
    </row>
    <row r="16">
      <c r="A16" s="20" t="inlineStr">
        <is>
          <t>Gross Profit</t>
        </is>
      </c>
      <c r="B16" s="20" t="n">
        <v>2022</v>
      </c>
      <c r="C16" s="10" t="n">
        <v>26891</v>
      </c>
      <c r="D16" s="10" t="n">
        <v>26814</v>
      </c>
      <c r="E16" s="10" t="n">
        <v>-77</v>
      </c>
      <c r="F16" s="21" t="n">
        <v>-0.002863411550332825</v>
      </c>
      <c r="G16" s="22" t="inlineStr">
        <is>
          <t>YES</t>
        </is>
      </c>
    </row>
    <row r="17">
      <c r="A17" s="20" t="inlineStr">
        <is>
          <t>Gross Profit</t>
        </is>
      </c>
      <c r="B17" s="20" t="n">
        <v>2023</v>
      </c>
      <c r="C17" s="10" t="n">
        <v>29676</v>
      </c>
      <c r="D17" s="10" t="n">
        <v>29584</v>
      </c>
      <c r="E17" s="10" t="n">
        <v>-92</v>
      </c>
      <c r="F17" s="21" t="n">
        <v>-0.003100148267960642</v>
      </c>
      <c r="G17" s="22" t="inlineStr">
        <is>
          <t>YES</t>
        </is>
      </c>
    </row>
    <row r="18">
      <c r="A18" s="20" t="inlineStr">
        <is>
          <t>Gross Profit</t>
        </is>
      </c>
      <c r="B18" s="20" t="n">
        <v>2024</v>
      </c>
      <c r="C18" s="10" t="n">
        <v>30064</v>
      </c>
      <c r="D18" s="10" t="n">
        <v>30064</v>
      </c>
      <c r="E18" s="10" t="n">
        <v>0</v>
      </c>
      <c r="F18" s="21" t="n">
        <v>0</v>
      </c>
      <c r="G18" s="22" t="inlineStr">
        <is>
          <t>no</t>
        </is>
      </c>
    </row>
    <row r="19">
      <c r="A19" s="20" t="inlineStr">
        <is>
          <t>Gross Profit</t>
        </is>
      </c>
      <c r="B19" s="20" t="n">
        <v>2025</v>
      </c>
      <c r="C19" s="10" t="n">
        <v>29269</v>
      </c>
      <c r="D19" s="10" t="n">
        <v>29269</v>
      </c>
      <c r="E19" s="10" t="n">
        <v>0</v>
      </c>
      <c r="F19" s="21" t="n">
        <v>0</v>
      </c>
      <c r="G19" s="22" t="inlineStr">
        <is>
          <t>no</t>
        </is>
      </c>
    </row>
    <row r="20">
      <c r="A20" s="20" t="inlineStr">
        <is>
          <t>SG&amp;A</t>
        </is>
      </c>
      <c r="B20" s="20" t="n">
        <v>2021</v>
      </c>
      <c r="C20" s="10" t="n">
        <v>19752</v>
      </c>
      <c r="D20" s="10" t="n">
        <v>19752</v>
      </c>
      <c r="E20" s="10" t="n">
        <v>0</v>
      </c>
      <c r="F20" s="21" t="n">
        <v>0</v>
      </c>
      <c r="G20" s="22" t="inlineStr">
        <is>
          <t>no</t>
        </is>
      </c>
    </row>
    <row r="21">
      <c r="A21" s="20" t="inlineStr">
        <is>
          <t>SG&amp;A</t>
        </is>
      </c>
      <c r="B21" s="20" t="n">
        <v>2022</v>
      </c>
      <c r="C21" s="10" t="n">
        <v>20658</v>
      </c>
      <c r="D21" s="10" t="n">
        <v>20581</v>
      </c>
      <c r="E21" s="10" t="n">
        <v>-77</v>
      </c>
      <c r="F21" s="21" t="n">
        <v>-0.003727369542066028</v>
      </c>
      <c r="G21" s="22" t="inlineStr">
        <is>
          <t>YES</t>
        </is>
      </c>
    </row>
    <row r="22">
      <c r="A22" s="20" t="inlineStr">
        <is>
          <t>SG&amp;A</t>
        </is>
      </c>
      <c r="B22" s="20" t="n">
        <v>2023</v>
      </c>
      <c r="C22" s="10" t="n">
        <v>21554</v>
      </c>
      <c r="D22" s="10" t="n">
        <v>21462</v>
      </c>
      <c r="E22" s="10" t="n">
        <v>-92</v>
      </c>
      <c r="F22" s="21" t="n">
        <v>-0.004268349262317899</v>
      </c>
      <c r="G22" s="22" t="inlineStr">
        <is>
          <t>YES</t>
        </is>
      </c>
    </row>
    <row r="23">
      <c r="A23" s="20" t="inlineStr">
        <is>
          <t>SG&amp;A</t>
        </is>
      </c>
      <c r="B23" s="20" t="n">
        <v>2024</v>
      </c>
      <c r="C23" s="10" t="n">
        <v>21969</v>
      </c>
      <c r="D23" s="10" t="n">
        <v>21969</v>
      </c>
      <c r="E23" s="10" t="n">
        <v>0</v>
      </c>
      <c r="F23" s="21" t="n">
        <v>0</v>
      </c>
      <c r="G23" s="22" t="inlineStr">
        <is>
          <t>no</t>
        </is>
      </c>
    </row>
    <row r="24">
      <c r="A24" s="20" t="inlineStr">
        <is>
          <t>SG&amp;A</t>
        </is>
      </c>
      <c r="B24" s="20" t="n">
        <v>2025</v>
      </c>
      <c r="C24" s="10" t="n">
        <v>21535</v>
      </c>
      <c r="D24" s="10" t="n">
        <v>21535</v>
      </c>
      <c r="E24" s="10" t="n">
        <v>0</v>
      </c>
      <c r="F24" s="21" t="n">
        <v>0</v>
      </c>
      <c r="G24" s="22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6" customWidth="1" min="4" max="4"/>
  </cols>
  <sheetData>
    <row r="1" ht="28" customHeight="1">
      <c r="A1" s="1" t="inlineStr">
        <is>
          <t>Quarterly Cash Proof -- FY2025 Seasonality Evidence</t>
        </is>
      </c>
    </row>
    <row r="2">
      <c r="A2" s="19" t="inlineStr">
        <is>
          <t>The only year of quarterly granularity in the registered source set. Grounds the seasonal-liquidity-stress overlay's 50% haircut (Q1 trough vs. Q4/year-end = 52.6%).</t>
        </is>
      </c>
    </row>
    <row r="4">
      <c r="A4" s="9" t="inlineStr">
        <is>
          <t>As-Of Date</t>
        </is>
      </c>
      <c r="B4" s="9" t="inlineStr">
        <is>
          <t>Cash &amp; Equivalents ($M)</t>
        </is>
      </c>
      <c r="C4" s="9" t="inlineStr">
        <is>
          <t>Accession</t>
        </is>
      </c>
      <c r="D4" s="9" t="inlineStr">
        <is>
          <t>Period</t>
        </is>
      </c>
    </row>
    <row r="5">
      <c r="A5" s="20" t="inlineStr">
        <is>
          <t>2025-02-01</t>
        </is>
      </c>
      <c r="B5" s="10" t="n">
        <v>4762</v>
      </c>
      <c r="C5" s="20" t="inlineStr">
        <is>
          <t>0000027419-25-000018</t>
        </is>
      </c>
      <c r="D5" s="20" t="inlineStr">
        <is>
          <t>FY2024 Year-End</t>
        </is>
      </c>
    </row>
    <row r="6">
      <c r="A6" s="20" t="inlineStr">
        <is>
          <t>2025-05-03</t>
        </is>
      </c>
      <c r="B6" s="10" t="n">
        <v>2887</v>
      </c>
      <c r="C6" s="20" t="inlineStr">
        <is>
          <t>0000027419-25-000101</t>
        </is>
      </c>
      <c r="D6" s="20" t="inlineStr">
        <is>
          <t>FY2025 Q1 (trough)</t>
        </is>
      </c>
    </row>
    <row r="7">
      <c r="A7" s="20" t="inlineStr">
        <is>
          <t>2025-08-02</t>
        </is>
      </c>
      <c r="B7" s="10" t="n">
        <v>4341</v>
      </c>
      <c r="C7" s="20" t="inlineStr">
        <is>
          <t>0000027419-25-000118</t>
        </is>
      </c>
      <c r="D7" s="20" t="inlineStr">
        <is>
          <t>FY2025 Q2</t>
        </is>
      </c>
    </row>
    <row r="8">
      <c r="A8" s="20" t="inlineStr">
        <is>
          <t>2025-11-01</t>
        </is>
      </c>
      <c r="B8" s="10" t="n">
        <v>3822</v>
      </c>
      <c r="C8" s="20" t="inlineStr">
        <is>
          <t>0000027419-25-000126</t>
        </is>
      </c>
      <c r="D8" s="20" t="inlineStr">
        <is>
          <t>FY2025 Q3</t>
        </is>
      </c>
    </row>
    <row r="9">
      <c r="A9" s="20" t="inlineStr">
        <is>
          <t>2026-01-31</t>
        </is>
      </c>
      <c r="B9" s="10" t="n">
        <v>5488</v>
      </c>
      <c r="C9" s="20" t="inlineStr">
        <is>
          <t>0000027419-26-000016</t>
        </is>
      </c>
      <c r="D9" s="20" t="inlineStr">
        <is>
          <t>FY2025 Q4/Year-End</t>
        </is>
      </c>
    </row>
    <row r="11">
      <c r="A11" s="2" t="inlineStr">
        <is>
          <t>Trough / Year-End Ratio</t>
        </is>
      </c>
      <c r="B11" s="23" t="n">
        <v>0.5260568513119533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T2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28" customHeight="1">
      <c r="A1" s="1" t="inlineStr">
        <is>
          <t>Forecast Assumptions (FY2026-FY2030)</t>
        </is>
      </c>
    </row>
    <row r="2">
      <c r="A2" s="2" t="inlineStr">
        <is>
          <t>Scenario Selector</t>
        </is>
      </c>
      <c r="C2" s="24" t="inlineStr">
        <is>
          <t>Base</t>
        </is>
      </c>
      <c r="D2" s="18" t="inlineStr">
        <is>
          <t>&lt;- choose Base / Upside / Downside; drives Sheets 7-11 live</t>
        </is>
      </c>
    </row>
    <row r="4">
      <c r="A4" s="9" t="inlineStr">
        <is>
          <t>Assumption</t>
        </is>
      </c>
      <c r="B4" s="9" t="inlineStr">
        <is>
          <t>Area</t>
        </is>
      </c>
      <c r="C4" s="9" t="inlineStr">
        <is>
          <t>Unit</t>
        </is>
      </c>
      <c r="D4" s="9" t="inlineStr">
        <is>
          <t>Base FY2026</t>
        </is>
      </c>
      <c r="E4" s="9" t="inlineStr">
        <is>
          <t>Base FY2027</t>
        </is>
      </c>
      <c r="F4" s="9" t="inlineStr">
        <is>
          <t>Base FY2028</t>
        </is>
      </c>
      <c r="G4" s="9" t="inlineStr">
        <is>
          <t>Base FY2029</t>
        </is>
      </c>
      <c r="H4" s="9" t="inlineStr">
        <is>
          <t>Base FY2030</t>
        </is>
      </c>
      <c r="I4" s="9" t="n"/>
      <c r="J4" s="9" t="inlineStr">
        <is>
          <t>Upside FY2026</t>
        </is>
      </c>
      <c r="K4" s="9" t="inlineStr">
        <is>
          <t>Upside FY2027</t>
        </is>
      </c>
      <c r="L4" s="9" t="inlineStr">
        <is>
          <t>Upside FY2028</t>
        </is>
      </c>
      <c r="M4" s="9" t="inlineStr">
        <is>
          <t>Upside FY2029</t>
        </is>
      </c>
      <c r="N4" s="9" t="inlineStr">
        <is>
          <t>Upside FY2030</t>
        </is>
      </c>
      <c r="O4" s="9" t="n"/>
      <c r="P4" s="9" t="inlineStr">
        <is>
          <t>Downside FY2026</t>
        </is>
      </c>
      <c r="Q4" s="9" t="inlineStr">
        <is>
          <t>Downside FY2027</t>
        </is>
      </c>
      <c r="R4" s="9" t="inlineStr">
        <is>
          <t>Downside FY2028</t>
        </is>
      </c>
      <c r="S4" s="9" t="inlineStr">
        <is>
          <t>Downside FY2029</t>
        </is>
      </c>
      <c r="T4" s="9" t="inlineStr">
        <is>
          <t>Downside FY2030</t>
        </is>
      </c>
    </row>
    <row r="5">
      <c r="A5" s="7" t="inlineStr">
        <is>
          <t>Revenue growth %/yr</t>
        </is>
      </c>
      <c r="B5" s="7" t="inlineStr">
        <is>
          <t>Revenue</t>
        </is>
      </c>
      <c r="C5" s="7" t="inlineStr">
        <is>
          <t>%</t>
        </is>
      </c>
      <c r="D5" s="25" t="n">
        <v>0.01</v>
      </c>
      <c r="E5" s="25" t="n">
        <v>0.01</v>
      </c>
      <c r="F5" s="25" t="n">
        <v>0.01</v>
      </c>
      <c r="G5" s="25" t="n">
        <v>0.01</v>
      </c>
      <c r="H5" s="25" t="n">
        <v>0.01</v>
      </c>
      <c r="J5" s="25" t="n">
        <v>0.03</v>
      </c>
      <c r="K5" s="25" t="n">
        <v>0.03</v>
      </c>
      <c r="L5" s="25" t="n">
        <v>0.03</v>
      </c>
      <c r="M5" s="25" t="n">
        <v>0.03</v>
      </c>
      <c r="N5" s="25" t="n">
        <v>0.03</v>
      </c>
      <c r="P5" s="25" t="n">
        <v>-0.025</v>
      </c>
      <c r="Q5" s="25" t="n">
        <v>-0.025</v>
      </c>
      <c r="R5" s="25" t="n">
        <v>-0.025</v>
      </c>
      <c r="S5" s="25" t="n">
        <v>-0.025</v>
      </c>
      <c r="T5" s="25" t="n">
        <v>-0.025</v>
      </c>
    </row>
    <row r="6">
      <c r="A6" s="7" t="inlineStr">
        <is>
          <t>Gross margin %</t>
        </is>
      </c>
      <c r="B6" s="7" t="inlineStr">
        <is>
          <t>Gross Profit</t>
        </is>
      </c>
      <c r="C6" s="7" t="inlineStr">
        <is>
          <t>%</t>
        </is>
      </c>
      <c r="D6" s="25" t="n">
        <v>0.2793</v>
      </c>
      <c r="E6" s="25" t="n">
        <v>0.27947</v>
      </c>
      <c r="F6" s="25" t="n">
        <v>0.27965</v>
      </c>
      <c r="G6" s="25" t="n">
        <v>0.27983</v>
      </c>
      <c r="H6" s="25" t="n">
        <v>0.28</v>
      </c>
      <c r="J6" s="25" t="n">
        <v>0.2793</v>
      </c>
      <c r="K6" s="25" t="n">
        <v>0.28148</v>
      </c>
      <c r="L6" s="25" t="n">
        <v>0.28365</v>
      </c>
      <c r="M6" s="25" t="n">
        <v>0.28582</v>
      </c>
      <c r="N6" s="25" t="n">
        <v>0.288</v>
      </c>
      <c r="P6" s="25" t="n">
        <v>0.2793</v>
      </c>
      <c r="Q6" s="25" t="n">
        <v>0.27523</v>
      </c>
      <c r="R6" s="25" t="n">
        <v>0.27115</v>
      </c>
      <c r="S6" s="25" t="n">
        <v>0.26707</v>
      </c>
      <c r="T6" s="25" t="n">
        <v>0.263</v>
      </c>
    </row>
    <row r="7">
      <c r="A7" s="7" t="inlineStr">
        <is>
          <t>SG&amp;A % of revenue</t>
        </is>
      </c>
      <c r="B7" s="7" t="inlineStr">
        <is>
          <t>Operating Expenses</t>
        </is>
      </c>
      <c r="C7" s="7" t="inlineStr">
        <is>
          <t>%</t>
        </is>
      </c>
      <c r="D7" s="25" t="n">
        <v>0.2055</v>
      </c>
      <c r="E7" s="25" t="n">
        <v>0.2055</v>
      </c>
      <c r="F7" s="25" t="n">
        <v>0.2055</v>
      </c>
      <c r="G7" s="25" t="n">
        <v>0.2055</v>
      </c>
      <c r="H7" s="25" t="n">
        <v>0.2055</v>
      </c>
      <c r="J7" s="25" t="n">
        <v>0.2055</v>
      </c>
      <c r="K7" s="25" t="n">
        <v>0.20363</v>
      </c>
      <c r="L7" s="25" t="n">
        <v>0.20175</v>
      </c>
      <c r="M7" s="25" t="n">
        <v>0.19988</v>
      </c>
      <c r="N7" s="25" t="n">
        <v>0.198</v>
      </c>
      <c r="P7" s="25" t="n">
        <v>0.2055</v>
      </c>
      <c r="Q7" s="25" t="n">
        <v>0.20738</v>
      </c>
      <c r="R7" s="25" t="n">
        <v>0.20925</v>
      </c>
      <c r="S7" s="25" t="n">
        <v>0.21113</v>
      </c>
      <c r="T7" s="25" t="n">
        <v>0.213</v>
      </c>
    </row>
    <row r="8">
      <c r="A8" s="7" t="inlineStr">
        <is>
          <t>D&amp;A in opex, % of revenue</t>
        </is>
      </c>
      <c r="B8" s="7" t="inlineStr">
        <is>
          <t>Operating Expenses</t>
        </is>
      </c>
      <c r="C8" s="7" t="inlineStr">
        <is>
          <t>%</t>
        </is>
      </c>
      <c r="D8" s="25" t="n">
        <v>0.02578</v>
      </c>
      <c r="E8" s="25" t="n">
        <v>0.02655</v>
      </c>
      <c r="F8" s="25" t="n">
        <v>0.02732</v>
      </c>
      <c r="G8" s="25" t="n">
        <v>0.0281</v>
      </c>
      <c r="H8" s="25" t="n">
        <v>0.02888</v>
      </c>
      <c r="J8" s="25" t="n">
        <v>0.02678</v>
      </c>
      <c r="K8" s="25" t="n">
        <v>0.02755</v>
      </c>
      <c r="L8" s="25" t="n">
        <v>0.02833</v>
      </c>
      <c r="M8" s="25" t="n">
        <v>0.0291</v>
      </c>
      <c r="N8" s="25" t="n">
        <v>0.02988</v>
      </c>
      <c r="P8" s="25" t="n">
        <v>0.02478</v>
      </c>
      <c r="Q8" s="25" t="n">
        <v>0.02555</v>
      </c>
      <c r="R8" s="25" t="n">
        <v>0.02632</v>
      </c>
      <c r="S8" s="25" t="n">
        <v>0.0271</v>
      </c>
      <c r="T8" s="25" t="n">
        <v>0.02788</v>
      </c>
    </row>
    <row r="9">
      <c r="A9" s="7" t="inlineStr">
        <is>
          <t>Effective tax rate %</t>
        </is>
      </c>
      <c r="B9" s="7" t="inlineStr">
        <is>
          <t>Income Tax</t>
        </is>
      </c>
      <c r="C9" s="7" t="inlineStr">
        <is>
          <t>%</t>
        </is>
      </c>
      <c r="D9" s="25" t="n">
        <v>0.222</v>
      </c>
      <c r="E9" s="25" t="n">
        <v>0.222</v>
      </c>
      <c r="F9" s="25" t="n">
        <v>0.222</v>
      </c>
      <c r="G9" s="25" t="n">
        <v>0.222</v>
      </c>
      <c r="H9" s="25" t="n">
        <v>0.222</v>
      </c>
      <c r="J9" s="25" t="n">
        <v>0.215</v>
      </c>
      <c r="K9" s="25" t="n">
        <v>0.215</v>
      </c>
      <c r="L9" s="25" t="n">
        <v>0.215</v>
      </c>
      <c r="M9" s="25" t="n">
        <v>0.215</v>
      </c>
      <c r="N9" s="25" t="n">
        <v>0.215</v>
      </c>
      <c r="P9" s="25" t="n">
        <v>0.23</v>
      </c>
      <c r="Q9" s="25" t="n">
        <v>0.23</v>
      </c>
      <c r="R9" s="25" t="n">
        <v>0.23</v>
      </c>
      <c r="S9" s="25" t="n">
        <v>0.23</v>
      </c>
      <c r="T9" s="25" t="n">
        <v>0.23</v>
      </c>
    </row>
    <row r="10">
      <c r="A10" s="7" t="inlineStr">
        <is>
          <t>Net other income ($M)</t>
        </is>
      </c>
      <c r="B10" s="7" t="inlineStr">
        <is>
          <t>Other Income</t>
        </is>
      </c>
      <c r="C10" s="7" t="inlineStr">
        <is>
          <t>$M</t>
        </is>
      </c>
      <c r="D10" s="26" t="n">
        <v>95</v>
      </c>
      <c r="E10" s="26" t="n">
        <v>95</v>
      </c>
      <c r="F10" s="26" t="n">
        <v>95</v>
      </c>
      <c r="G10" s="26" t="n">
        <v>95</v>
      </c>
      <c r="H10" s="26" t="n">
        <v>95</v>
      </c>
      <c r="J10" s="26" t="n">
        <v>100</v>
      </c>
      <c r="K10" s="26" t="n">
        <v>100</v>
      </c>
      <c r="L10" s="26" t="n">
        <v>100</v>
      </c>
      <c r="M10" s="26" t="n">
        <v>100</v>
      </c>
      <c r="N10" s="26" t="n">
        <v>100</v>
      </c>
      <c r="P10" s="26" t="n">
        <v>80</v>
      </c>
      <c r="Q10" s="26" t="n">
        <v>80</v>
      </c>
      <c r="R10" s="26" t="n">
        <v>80</v>
      </c>
      <c r="S10" s="26" t="n">
        <v>80</v>
      </c>
      <c r="T10" s="26" t="n">
        <v>80</v>
      </c>
    </row>
    <row r="11">
      <c r="A11" s="7" t="inlineStr">
        <is>
          <t>Diluted share count change %/yr</t>
        </is>
      </c>
      <c r="B11" s="7" t="inlineStr">
        <is>
          <t>Shares</t>
        </is>
      </c>
      <c r="C11" s="7" t="inlineStr">
        <is>
          <t>%</t>
        </is>
      </c>
      <c r="D11" s="25" t="n">
        <v>-0.005</v>
      </c>
      <c r="E11" s="25" t="n">
        <v>-0.005</v>
      </c>
      <c r="F11" s="25" t="n">
        <v>-0.005</v>
      </c>
      <c r="G11" s="25" t="n">
        <v>-0.005</v>
      </c>
      <c r="H11" s="25" t="n">
        <v>-0.005</v>
      </c>
      <c r="J11" s="25" t="n">
        <v>-0.015</v>
      </c>
      <c r="K11" s="25" t="n">
        <v>-0.015</v>
      </c>
      <c r="L11" s="25" t="n">
        <v>-0.015</v>
      </c>
      <c r="M11" s="25" t="n">
        <v>-0.015</v>
      </c>
      <c r="N11" s="25" t="n">
        <v>-0.015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0</v>
      </c>
    </row>
    <row r="12">
      <c r="A12" s="7" t="inlineStr">
        <is>
          <t>Interest rate on avg debt %</t>
        </is>
      </c>
      <c r="B12" s="7" t="inlineStr">
        <is>
          <t>Interest</t>
        </is>
      </c>
      <c r="C12" s="7" t="inlineStr">
        <is>
          <t>%</t>
        </is>
      </c>
      <c r="D12" s="25" t="n">
        <v>0.031</v>
      </c>
      <c r="E12" s="25" t="n">
        <v>0.031</v>
      </c>
      <c r="F12" s="25" t="n">
        <v>0.031</v>
      </c>
      <c r="G12" s="25" t="n">
        <v>0.031</v>
      </c>
      <c r="H12" s="25" t="n">
        <v>0.031</v>
      </c>
      <c r="J12" s="25" t="n">
        <v>0.029</v>
      </c>
      <c r="K12" s="25" t="n">
        <v>0.029</v>
      </c>
      <c r="L12" s="25" t="n">
        <v>0.029</v>
      </c>
      <c r="M12" s="25" t="n">
        <v>0.029</v>
      </c>
      <c r="N12" s="25" t="n">
        <v>0.029</v>
      </c>
      <c r="P12" s="25" t="n">
        <v>0.034</v>
      </c>
      <c r="Q12" s="25" t="n">
        <v>0.034</v>
      </c>
      <c r="R12" s="25" t="n">
        <v>0.034</v>
      </c>
      <c r="S12" s="25" t="n">
        <v>0.034</v>
      </c>
      <c r="T12" s="25" t="n">
        <v>0.034</v>
      </c>
    </row>
    <row r="13">
      <c r="A13" s="7" t="inlineStr">
        <is>
          <t>CapEx % of revenue</t>
        </is>
      </c>
      <c r="B13" s="7" t="inlineStr">
        <is>
          <t>CapEx</t>
        </is>
      </c>
      <c r="C13" s="7" t="inlineStr">
        <is>
          <t>%</t>
        </is>
      </c>
      <c r="D13" s="25" t="n">
        <v>0.036</v>
      </c>
      <c r="E13" s="25" t="n">
        <v>0.036</v>
      </c>
      <c r="F13" s="25" t="n">
        <v>0.036</v>
      </c>
      <c r="G13" s="25" t="n">
        <v>0.036</v>
      </c>
      <c r="H13" s="25" t="n">
        <v>0.036</v>
      </c>
      <c r="J13" s="25" t="n">
        <v>0.043</v>
      </c>
      <c r="K13" s="25" t="n">
        <v>0.043</v>
      </c>
      <c r="L13" s="25" t="n">
        <v>0.043</v>
      </c>
      <c r="M13" s="25" t="n">
        <v>0.043</v>
      </c>
      <c r="N13" s="25" t="n">
        <v>0.043</v>
      </c>
      <c r="P13" s="25" t="n">
        <v>0.028</v>
      </c>
      <c r="Q13" s="25" t="n">
        <v>0.028</v>
      </c>
      <c r="R13" s="25" t="n">
        <v>0.028</v>
      </c>
      <c r="S13" s="25" t="n">
        <v>0.028</v>
      </c>
      <c r="T13" s="25" t="n">
        <v>0.028</v>
      </c>
    </row>
    <row r="14">
      <c r="A14" s="7" t="inlineStr">
        <is>
          <t>D&amp;A CFO add-back % of revenue</t>
        </is>
      </c>
      <c r="B14" s="7" t="inlineStr">
        <is>
          <t>Cash Flow</t>
        </is>
      </c>
      <c r="C14" s="7" t="inlineStr">
        <is>
          <t>%</t>
        </is>
      </c>
      <c r="D14" s="25" t="n">
        <v>0.03116</v>
      </c>
      <c r="E14" s="25" t="n">
        <v>0.03240000000000001</v>
      </c>
      <c r="F14" s="25" t="n">
        <v>0.03365</v>
      </c>
      <c r="G14" s="25" t="n">
        <v>0.0349</v>
      </c>
      <c r="H14" s="25" t="n">
        <v>0.03614</v>
      </c>
      <c r="J14" s="25" t="n">
        <v>0.03166</v>
      </c>
      <c r="K14" s="25" t="n">
        <v>0.0329</v>
      </c>
      <c r="L14" s="25" t="n">
        <v>0.03415</v>
      </c>
      <c r="M14" s="25" t="n">
        <v>0.0354</v>
      </c>
      <c r="N14" s="25" t="n">
        <v>0.03664</v>
      </c>
      <c r="P14" s="25" t="n">
        <v>0.03066</v>
      </c>
      <c r="Q14" s="25" t="n">
        <v>0.0319</v>
      </c>
      <c r="R14" s="25" t="n">
        <v>0.03315</v>
      </c>
      <c r="S14" s="25" t="n">
        <v>0.0344</v>
      </c>
      <c r="T14" s="25" t="n">
        <v>0.03564</v>
      </c>
    </row>
    <row r="15">
      <c r="A15" s="7" t="inlineStr">
        <is>
          <t>Inventory % of revenue</t>
        </is>
      </c>
      <c r="B15" s="7" t="inlineStr">
        <is>
          <t>Working Capital</t>
        </is>
      </c>
      <c r="C15" s="7" t="inlineStr">
        <is>
          <t>%</t>
        </is>
      </c>
      <c r="D15" s="25" t="n">
        <v>0.118</v>
      </c>
      <c r="E15" s="25" t="n">
        <v>0.118</v>
      </c>
      <c r="F15" s="25" t="n">
        <v>0.118</v>
      </c>
      <c r="G15" s="25" t="n">
        <v>0.118</v>
      </c>
      <c r="H15" s="25" t="n">
        <v>0.118</v>
      </c>
      <c r="J15" s="25" t="n">
        <v>0.11</v>
      </c>
      <c r="K15" s="25" t="n">
        <v>0.11</v>
      </c>
      <c r="L15" s="25" t="n">
        <v>0.11</v>
      </c>
      <c r="M15" s="25" t="n">
        <v>0.11</v>
      </c>
      <c r="N15" s="25" t="n">
        <v>0.11</v>
      </c>
      <c r="P15" s="25" t="n">
        <v>0.128</v>
      </c>
      <c r="Q15" s="25" t="n">
        <v>0.128</v>
      </c>
      <c r="R15" s="25" t="n">
        <v>0.128</v>
      </c>
      <c r="S15" s="25" t="n">
        <v>0.128</v>
      </c>
      <c r="T15" s="25" t="n">
        <v>0.128</v>
      </c>
    </row>
    <row r="16">
      <c r="A16" s="7" t="inlineStr">
        <is>
          <t>Accounts payable % of COGS</t>
        </is>
      </c>
      <c r="B16" s="7" t="inlineStr">
        <is>
          <t>Working Capital</t>
        </is>
      </c>
      <c r="C16" s="7" t="inlineStr">
        <is>
          <t>%</t>
        </is>
      </c>
      <c r="D16" s="25" t="n">
        <v>0.167</v>
      </c>
      <c r="E16" s="25" t="n">
        <v>0.167</v>
      </c>
      <c r="F16" s="25" t="n">
        <v>0.167</v>
      </c>
      <c r="G16" s="25" t="n">
        <v>0.167</v>
      </c>
      <c r="H16" s="25" t="n">
        <v>0.167</v>
      </c>
      <c r="J16" s="25" t="n">
        <v>0.175</v>
      </c>
      <c r="K16" s="25" t="n">
        <v>0.175</v>
      </c>
      <c r="L16" s="25" t="n">
        <v>0.175</v>
      </c>
      <c r="M16" s="25" t="n">
        <v>0.175</v>
      </c>
      <c r="N16" s="25" t="n">
        <v>0.175</v>
      </c>
      <c r="P16" s="25" t="n">
        <v>0.155</v>
      </c>
      <c r="Q16" s="25" t="n">
        <v>0.155</v>
      </c>
      <c r="R16" s="25" t="n">
        <v>0.155</v>
      </c>
      <c r="S16" s="25" t="n">
        <v>0.155</v>
      </c>
      <c r="T16" s="25" t="n">
        <v>0.155</v>
      </c>
    </row>
    <row r="17">
      <c r="A17" s="7" t="inlineStr">
        <is>
          <t>Other operating cash adjustments ($M)</t>
        </is>
      </c>
      <c r="B17" s="7" t="inlineStr">
        <is>
          <t>Cash Flow</t>
        </is>
      </c>
      <c r="C17" s="7" t="inlineStr">
        <is>
          <t>$M</t>
        </is>
      </c>
      <c r="D17" s="26" t="n">
        <v>150</v>
      </c>
      <c r="E17" s="26" t="n">
        <v>150</v>
      </c>
      <c r="F17" s="26" t="n">
        <v>150</v>
      </c>
      <c r="G17" s="26" t="n">
        <v>150</v>
      </c>
      <c r="H17" s="26" t="n">
        <v>150</v>
      </c>
      <c r="J17" s="26" t="n">
        <v>250</v>
      </c>
      <c r="K17" s="26" t="n">
        <v>250</v>
      </c>
      <c r="L17" s="26" t="n">
        <v>250</v>
      </c>
      <c r="M17" s="26" t="n">
        <v>250</v>
      </c>
      <c r="N17" s="26" t="n">
        <v>250</v>
      </c>
      <c r="P17" s="26" t="n">
        <v>50</v>
      </c>
      <c r="Q17" s="26" t="n">
        <v>50</v>
      </c>
      <c r="R17" s="26" t="n">
        <v>50</v>
      </c>
      <c r="S17" s="26" t="n">
        <v>50</v>
      </c>
      <c r="T17" s="26" t="n">
        <v>50</v>
      </c>
    </row>
    <row r="18">
      <c r="A18" s="7" t="inlineStr">
        <is>
          <t>Dividend per share growth %/yr</t>
        </is>
      </c>
      <c r="B18" s="7" t="inlineStr">
        <is>
          <t>Financing</t>
        </is>
      </c>
      <c r="C18" s="7" t="inlineStr">
        <is>
          <t>%</t>
        </is>
      </c>
      <c r="D18" s="25" t="n">
        <v>0.02</v>
      </c>
      <c r="E18" s="25" t="n">
        <v>0.02</v>
      </c>
      <c r="F18" s="25" t="n">
        <v>0.02</v>
      </c>
      <c r="G18" s="25" t="n">
        <v>0.02</v>
      </c>
      <c r="H18" s="25" t="n">
        <v>0.02</v>
      </c>
      <c r="J18" s="25" t="n">
        <v>0.04</v>
      </c>
      <c r="K18" s="25" t="n">
        <v>0.04</v>
      </c>
      <c r="L18" s="25" t="n">
        <v>0.04</v>
      </c>
      <c r="M18" s="25" t="n">
        <v>0.04</v>
      </c>
      <c r="N18" s="25" t="n">
        <v>0.04</v>
      </c>
      <c r="P18" s="25" t="n">
        <v>0</v>
      </c>
      <c r="Q18" s="25" t="n">
        <v>0</v>
      </c>
      <c r="R18" s="25" t="n">
        <v>0</v>
      </c>
      <c r="S18" s="25" t="n">
        <v>0</v>
      </c>
      <c r="T18" s="25" t="n">
        <v>0</v>
      </c>
    </row>
    <row r="19">
      <c r="A19" s="7" t="inlineStr">
        <is>
          <t>Buyback payout % of post-dividend FCF</t>
        </is>
      </c>
      <c r="B19" s="7" t="inlineStr">
        <is>
          <t>Financing</t>
        </is>
      </c>
      <c r="C19" s="7" t="inlineStr">
        <is>
          <t>%</t>
        </is>
      </c>
      <c r="D19" s="25" t="n">
        <v>0.4</v>
      </c>
      <c r="E19" s="25" t="n">
        <v>0.4</v>
      </c>
      <c r="F19" s="25" t="n">
        <v>0.4</v>
      </c>
      <c r="G19" s="25" t="n">
        <v>0.4</v>
      </c>
      <c r="H19" s="25" t="n">
        <v>0.4</v>
      </c>
      <c r="J19" s="25" t="n">
        <v>0.55</v>
      </c>
      <c r="K19" s="25" t="n">
        <v>0.55</v>
      </c>
      <c r="L19" s="25" t="n">
        <v>0.55</v>
      </c>
      <c r="M19" s="25" t="n">
        <v>0.55</v>
      </c>
      <c r="N19" s="25" t="n">
        <v>0.55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</row>
    <row r="20">
      <c r="A20" s="7" t="inlineStr">
        <is>
          <t>Debt proceeds ($M/yr)</t>
        </is>
      </c>
      <c r="B20" s="7" t="inlineStr">
        <is>
          <t>Financing</t>
        </is>
      </c>
      <c r="C20" s="7" t="inlineStr">
        <is>
          <t>$M</t>
        </is>
      </c>
      <c r="D20" s="26" t="n">
        <v>700</v>
      </c>
      <c r="E20" s="26" t="n">
        <v>700</v>
      </c>
      <c r="F20" s="26" t="n">
        <v>700</v>
      </c>
      <c r="G20" s="26" t="n">
        <v>700</v>
      </c>
      <c r="H20" s="26" t="n">
        <v>700</v>
      </c>
      <c r="J20" s="26" t="n">
        <v>300</v>
      </c>
      <c r="K20" s="26" t="n">
        <v>300</v>
      </c>
      <c r="L20" s="26" t="n">
        <v>300</v>
      </c>
      <c r="M20" s="26" t="n">
        <v>300</v>
      </c>
      <c r="N20" s="26" t="n">
        <v>300</v>
      </c>
      <c r="P20" s="26" t="n">
        <v>500</v>
      </c>
      <c r="Q20" s="26" t="n">
        <v>500</v>
      </c>
      <c r="R20" s="26" t="n">
        <v>500</v>
      </c>
      <c r="S20" s="26" t="n">
        <v>500</v>
      </c>
      <c r="T20" s="26" t="n">
        <v>500</v>
      </c>
    </row>
    <row r="21">
      <c r="A21" s="7" t="inlineStr">
        <is>
          <t>Debt repayments ($M/yr)</t>
        </is>
      </c>
      <c r="B21" s="7" t="inlineStr">
        <is>
          <t>Financing</t>
        </is>
      </c>
      <c r="C21" s="7" t="inlineStr">
        <is>
          <t>$M</t>
        </is>
      </c>
      <c r="D21" s="26" t="n">
        <v>700</v>
      </c>
      <c r="E21" s="26" t="n">
        <v>700</v>
      </c>
      <c r="F21" s="26" t="n">
        <v>700</v>
      </c>
      <c r="G21" s="26" t="n">
        <v>700</v>
      </c>
      <c r="H21" s="26" t="n">
        <v>700</v>
      </c>
      <c r="J21" s="26" t="n">
        <v>1000</v>
      </c>
      <c r="K21" s="26" t="n">
        <v>1000</v>
      </c>
      <c r="L21" s="26" t="n">
        <v>1000</v>
      </c>
      <c r="M21" s="26" t="n">
        <v>1000</v>
      </c>
      <c r="N21" s="26" t="n">
        <v>1000</v>
      </c>
      <c r="P21" s="26" t="n">
        <v>300</v>
      </c>
      <c r="Q21" s="26" t="n">
        <v>300</v>
      </c>
      <c r="R21" s="26" t="n">
        <v>300</v>
      </c>
      <c r="S21" s="26" t="n">
        <v>300</v>
      </c>
      <c r="T21" s="26" t="n">
        <v>300</v>
      </c>
    </row>
    <row r="22">
      <c r="A22" s="7" t="inlineStr">
        <is>
          <t>Finance lease liabilities ($M)</t>
        </is>
      </c>
      <c r="B22" s="7" t="inlineStr">
        <is>
          <t>Balance Sheet</t>
        </is>
      </c>
      <c r="C22" s="7" t="inlineStr">
        <is>
          <t>$M</t>
        </is>
      </c>
      <c r="D22" s="26" t="n">
        <v>2113</v>
      </c>
      <c r="E22" s="26" t="n">
        <v>2113</v>
      </c>
      <c r="F22" s="26" t="n">
        <v>2113</v>
      </c>
      <c r="G22" s="26" t="n">
        <v>2113</v>
      </c>
      <c r="H22" s="26" t="n">
        <v>2113</v>
      </c>
      <c r="J22" s="26" t="n">
        <v>2113</v>
      </c>
      <c r="K22" s="26" t="n">
        <v>2113</v>
      </c>
      <c r="L22" s="26" t="n">
        <v>2113</v>
      </c>
      <c r="M22" s="26" t="n">
        <v>2113</v>
      </c>
      <c r="N22" s="26" t="n">
        <v>2113</v>
      </c>
      <c r="P22" s="26" t="n">
        <v>2113</v>
      </c>
      <c r="Q22" s="26" t="n">
        <v>2113</v>
      </c>
      <c r="R22" s="26" t="n">
        <v>2113</v>
      </c>
      <c r="S22" s="26" t="n">
        <v>2113</v>
      </c>
      <c r="T22" s="26" t="n">
        <v>2113</v>
      </c>
    </row>
    <row r="23">
      <c r="A23" s="7" t="inlineStr">
        <is>
          <t>Minimum cash buffer % of revenue</t>
        </is>
      </c>
      <c r="B23" s="7" t="inlineStr">
        <is>
          <t>Liquidity Policy</t>
        </is>
      </c>
      <c r="C23" s="7" t="inlineStr">
        <is>
          <t>%</t>
        </is>
      </c>
      <c r="D23" s="25" t="n">
        <v>0.03</v>
      </c>
      <c r="E23" s="25" t="n">
        <v>0.03</v>
      </c>
      <c r="F23" s="25" t="n">
        <v>0.03</v>
      </c>
      <c r="G23" s="25" t="n">
        <v>0.03</v>
      </c>
      <c r="H23" s="25" t="n">
        <v>0.03</v>
      </c>
      <c r="J23" s="25" t="n">
        <v>0.03</v>
      </c>
      <c r="K23" s="25" t="n">
        <v>0.03</v>
      </c>
      <c r="L23" s="25" t="n">
        <v>0.03</v>
      </c>
      <c r="M23" s="25" t="n">
        <v>0.03</v>
      </c>
      <c r="N23" s="25" t="n">
        <v>0.03</v>
      </c>
      <c r="P23" s="25" t="n">
        <v>0.03</v>
      </c>
      <c r="Q23" s="25" t="n">
        <v>0.03</v>
      </c>
      <c r="R23" s="25" t="n">
        <v>0.03</v>
      </c>
      <c r="S23" s="25" t="n">
        <v>0.03</v>
      </c>
      <c r="T23" s="25" t="n">
        <v>0.03</v>
      </c>
    </row>
  </sheetData>
  <mergeCells count="1">
    <mergeCell ref="A1:T1"/>
  </mergeCells>
  <dataValidations count="1">
    <dataValidation sqref="C2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H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Scenario Forecast -- Income Statement (LIVE, driven by Sheet 6 selector)</t>
        </is>
      </c>
    </row>
    <row r="2">
      <c r="A2" s="2" t="inlineStr">
        <is>
          <t>Selected scenario:</t>
        </is>
      </c>
      <c r="B2" s="27">
        <f>'Forecast Assumptions'!$C$2</f>
        <v/>
      </c>
    </row>
    <row r="4">
      <c r="A4" s="9" t="inlineStr">
        <is>
          <t>Line Item</t>
        </is>
      </c>
      <c r="B4" s="9" t="n"/>
      <c r="C4" s="9" t="n"/>
      <c r="D4" s="9" t="inlineStr">
        <is>
          <t>FY2026</t>
        </is>
      </c>
      <c r="E4" s="9" t="inlineStr">
        <is>
          <t>FY2027</t>
        </is>
      </c>
      <c r="F4" s="9" t="inlineStr">
        <is>
          <t>FY2028</t>
        </is>
      </c>
      <c r="G4" s="9" t="inlineStr">
        <is>
          <t>FY2029</t>
        </is>
      </c>
      <c r="H4" s="9" t="inlineStr">
        <is>
          <t>FY2030</t>
        </is>
      </c>
    </row>
    <row r="5">
      <c r="A5" s="7" t="inlineStr">
        <is>
          <t>Revenue</t>
        </is>
      </c>
      <c r="D5" s="10">
        <f>104780.0*(1+(IF('Forecast Assumptions'!$C$2="Base",'Forecast Assumptions'!D5,IF('Forecast Assumptions'!$C$2="Upside",'Forecast Assumptions'!J5,'Forecast Assumptions'!P5))))</f>
        <v/>
      </c>
      <c r="E5" s="10">
        <f>D5*(1+(IF('Forecast Assumptions'!$C$2="Base",'Forecast Assumptions'!E5,IF('Forecast Assumptions'!$C$2="Upside",'Forecast Assumptions'!K5,'Forecast Assumptions'!Q5))))</f>
        <v/>
      </c>
      <c r="F5" s="10">
        <f>E5*(1+(IF('Forecast Assumptions'!$C$2="Base",'Forecast Assumptions'!F5,IF('Forecast Assumptions'!$C$2="Upside",'Forecast Assumptions'!L5,'Forecast Assumptions'!R5))))</f>
        <v/>
      </c>
      <c r="G5" s="10">
        <f>F5*(1+(IF('Forecast Assumptions'!$C$2="Base",'Forecast Assumptions'!G5,IF('Forecast Assumptions'!$C$2="Upside",'Forecast Assumptions'!M5,'Forecast Assumptions'!S5))))</f>
        <v/>
      </c>
      <c r="H5" s="10">
        <f>G5*(1+(IF('Forecast Assumptions'!$C$2="Base",'Forecast Assumptions'!H5,IF('Forecast Assumptions'!$C$2="Upside",'Forecast Assumptions'!N5,'Forecast Assumptions'!T5))))</f>
        <v/>
      </c>
    </row>
    <row r="6">
      <c r="A6" s="7" t="inlineStr">
        <is>
          <t>Cost of Sales</t>
        </is>
      </c>
      <c r="D6" s="10">
        <f>D5-D7</f>
        <v/>
      </c>
      <c r="E6" s="10">
        <f>E5-E7</f>
        <v/>
      </c>
      <c r="F6" s="10">
        <f>F5-F7</f>
        <v/>
      </c>
      <c r="G6" s="10">
        <f>G5-G7</f>
        <v/>
      </c>
      <c r="H6" s="10">
        <f>H5-H7</f>
        <v/>
      </c>
    </row>
    <row r="7">
      <c r="A7" s="2" t="inlineStr">
        <is>
          <t>Gross Profit</t>
        </is>
      </c>
      <c r="D7" s="10">
        <f>D5*D8</f>
        <v/>
      </c>
      <c r="E7" s="10">
        <f>E5*E8</f>
        <v/>
      </c>
      <c r="F7" s="10">
        <f>F5*F8</f>
        <v/>
      </c>
      <c r="G7" s="10">
        <f>G5*G8</f>
        <v/>
      </c>
      <c r="H7" s="10">
        <f>H5*H8</f>
        <v/>
      </c>
    </row>
    <row r="8">
      <c r="A8" s="7" t="inlineStr">
        <is>
          <t xml:space="preserve">  Gross Margin %</t>
        </is>
      </c>
      <c r="D8" s="21">
        <f>IF('Forecast Assumptions'!$C$2="Base",'Forecast Assumptions'!D6,IF('Forecast Assumptions'!$C$2="Upside",'Forecast Assumptions'!J6,'Forecast Assumptions'!P6))</f>
        <v/>
      </c>
      <c r="E8" s="21">
        <f>IF('Forecast Assumptions'!$C$2="Base",'Forecast Assumptions'!E6,IF('Forecast Assumptions'!$C$2="Upside",'Forecast Assumptions'!K6,'Forecast Assumptions'!Q6))</f>
        <v/>
      </c>
      <c r="F8" s="21">
        <f>IF('Forecast Assumptions'!$C$2="Base",'Forecast Assumptions'!F6,IF('Forecast Assumptions'!$C$2="Upside",'Forecast Assumptions'!L6,'Forecast Assumptions'!R6))</f>
        <v/>
      </c>
      <c r="G8" s="21">
        <f>IF('Forecast Assumptions'!$C$2="Base",'Forecast Assumptions'!G6,IF('Forecast Assumptions'!$C$2="Upside",'Forecast Assumptions'!M6,'Forecast Assumptions'!S6))</f>
        <v/>
      </c>
      <c r="H8" s="21">
        <f>IF('Forecast Assumptions'!$C$2="Base",'Forecast Assumptions'!H6,IF('Forecast Assumptions'!$C$2="Upside",'Forecast Assumptions'!N6,'Forecast Assumptions'!T6))</f>
        <v/>
      </c>
    </row>
    <row r="9">
      <c r="A9" s="7" t="inlineStr">
        <is>
          <t>SG&amp;A</t>
        </is>
      </c>
      <c r="D9" s="10">
        <f>D5*(IF('Forecast Assumptions'!$C$2="Base",'Forecast Assumptions'!D7,IF('Forecast Assumptions'!$C$2="Upside",'Forecast Assumptions'!J7,'Forecast Assumptions'!P7)))</f>
        <v/>
      </c>
      <c r="E9" s="10">
        <f>E5*(IF('Forecast Assumptions'!$C$2="Base",'Forecast Assumptions'!E7,IF('Forecast Assumptions'!$C$2="Upside",'Forecast Assumptions'!K7,'Forecast Assumptions'!Q7)))</f>
        <v/>
      </c>
      <c r="F9" s="10">
        <f>F5*(IF('Forecast Assumptions'!$C$2="Base",'Forecast Assumptions'!F7,IF('Forecast Assumptions'!$C$2="Upside",'Forecast Assumptions'!L7,'Forecast Assumptions'!R7)))</f>
        <v/>
      </c>
      <c r="G9" s="10">
        <f>G5*(IF('Forecast Assumptions'!$C$2="Base",'Forecast Assumptions'!G7,IF('Forecast Assumptions'!$C$2="Upside",'Forecast Assumptions'!M7,'Forecast Assumptions'!S7)))</f>
        <v/>
      </c>
      <c r="H9" s="10">
        <f>H5*(IF('Forecast Assumptions'!$C$2="Base",'Forecast Assumptions'!H7,IF('Forecast Assumptions'!$C$2="Upside",'Forecast Assumptions'!N7,'Forecast Assumptions'!T7)))</f>
        <v/>
      </c>
    </row>
    <row r="10">
      <c r="A10" s="7" t="inlineStr">
        <is>
          <t>D&amp;A (in Opex)</t>
        </is>
      </c>
      <c r="D10" s="10">
        <f>D5*(IF('Forecast Assumptions'!$C$2="Base",'Forecast Assumptions'!D8,IF('Forecast Assumptions'!$C$2="Upside",'Forecast Assumptions'!J8,'Forecast Assumptions'!P8)))</f>
        <v/>
      </c>
      <c r="E10" s="10">
        <f>E5*(IF('Forecast Assumptions'!$C$2="Base",'Forecast Assumptions'!E8,IF('Forecast Assumptions'!$C$2="Upside",'Forecast Assumptions'!K8,'Forecast Assumptions'!Q8)))</f>
        <v/>
      </c>
      <c r="F10" s="10">
        <f>F5*(IF('Forecast Assumptions'!$C$2="Base",'Forecast Assumptions'!F8,IF('Forecast Assumptions'!$C$2="Upside",'Forecast Assumptions'!L8,'Forecast Assumptions'!R8)))</f>
        <v/>
      </c>
      <c r="G10" s="10">
        <f>G5*(IF('Forecast Assumptions'!$C$2="Base",'Forecast Assumptions'!G8,IF('Forecast Assumptions'!$C$2="Upside",'Forecast Assumptions'!M8,'Forecast Assumptions'!S8)))</f>
        <v/>
      </c>
      <c r="H10" s="10">
        <f>H5*(IF('Forecast Assumptions'!$C$2="Base",'Forecast Assumptions'!H8,IF('Forecast Assumptions'!$C$2="Upside",'Forecast Assumptions'!N8,'Forecast Assumptions'!T8)))</f>
        <v/>
      </c>
    </row>
    <row r="11">
      <c r="A11" s="2" t="inlineStr">
        <is>
          <t>Operating Income</t>
        </is>
      </c>
      <c r="D11" s="10">
        <f>D7-D9-D10</f>
        <v/>
      </c>
      <c r="E11" s="10">
        <f>E7-E9-E10</f>
        <v/>
      </c>
      <c r="F11" s="10">
        <f>F7-F9-F10</f>
        <v/>
      </c>
      <c r="G11" s="10">
        <f>G7-G9-G10</f>
        <v/>
      </c>
      <c r="H11" s="10">
        <f>H7-H9-H10</f>
        <v/>
      </c>
    </row>
    <row r="12">
      <c r="A12" s="7" t="inlineStr">
        <is>
          <t xml:space="preserve">  Operating Margin %</t>
        </is>
      </c>
      <c r="D12" s="21">
        <f>D11/D5</f>
        <v/>
      </c>
      <c r="E12" s="21">
        <f>E11/E5</f>
        <v/>
      </c>
      <c r="F12" s="21">
        <f>F11/F5</f>
        <v/>
      </c>
      <c r="G12" s="21">
        <f>G11/G5</f>
        <v/>
      </c>
      <c r="H12" s="21">
        <f>H11/H5</f>
        <v/>
      </c>
    </row>
    <row r="13">
      <c r="A13" s="7" t="inlineStr">
        <is>
          <t>Total Debt, Beginning</t>
        </is>
      </c>
      <c r="D13" s="10">
        <f>14343.0</f>
        <v/>
      </c>
      <c r="E13" s="10">
        <f>D14</f>
        <v/>
      </c>
      <c r="F13" s="10">
        <f>E14</f>
        <v/>
      </c>
      <c r="G13" s="10">
        <f>F14</f>
        <v/>
      </c>
      <c r="H13" s="10">
        <f>G14</f>
        <v/>
      </c>
    </row>
    <row r="14">
      <c r="A14" s="7" t="inlineStr">
        <is>
          <t>Total Debt, Ending</t>
        </is>
      </c>
      <c r="D14" s="10">
        <f>D13+(IF('Forecast Assumptions'!$C$2="Base",'Forecast Assumptions'!D20,IF('Forecast Assumptions'!$C$2="Upside",'Forecast Assumptions'!J20,'Forecast Assumptions'!P20)))-(IF('Forecast Assumptions'!$C$2="Base",'Forecast Assumptions'!D21,IF('Forecast Assumptions'!$C$2="Upside",'Forecast Assumptions'!J21,'Forecast Assumptions'!P21)))</f>
        <v/>
      </c>
      <c r="E14" s="10">
        <f>E13+(IF('Forecast Assumptions'!$C$2="Base",'Forecast Assumptions'!E20,IF('Forecast Assumptions'!$C$2="Upside",'Forecast Assumptions'!K20,'Forecast Assumptions'!Q20)))-(IF('Forecast Assumptions'!$C$2="Base",'Forecast Assumptions'!E21,IF('Forecast Assumptions'!$C$2="Upside",'Forecast Assumptions'!K21,'Forecast Assumptions'!Q21)))</f>
        <v/>
      </c>
      <c r="F14" s="10">
        <f>F13+(IF('Forecast Assumptions'!$C$2="Base",'Forecast Assumptions'!F20,IF('Forecast Assumptions'!$C$2="Upside",'Forecast Assumptions'!L20,'Forecast Assumptions'!R20)))-(IF('Forecast Assumptions'!$C$2="Base",'Forecast Assumptions'!F21,IF('Forecast Assumptions'!$C$2="Upside",'Forecast Assumptions'!L21,'Forecast Assumptions'!R21)))</f>
        <v/>
      </c>
      <c r="G14" s="10">
        <f>G13+(IF('Forecast Assumptions'!$C$2="Base",'Forecast Assumptions'!G20,IF('Forecast Assumptions'!$C$2="Upside",'Forecast Assumptions'!M20,'Forecast Assumptions'!S20)))-(IF('Forecast Assumptions'!$C$2="Base",'Forecast Assumptions'!G21,IF('Forecast Assumptions'!$C$2="Upside",'Forecast Assumptions'!M21,'Forecast Assumptions'!S21)))</f>
        <v/>
      </c>
      <c r="H14" s="10">
        <f>H13+(IF('Forecast Assumptions'!$C$2="Base",'Forecast Assumptions'!H20,IF('Forecast Assumptions'!$C$2="Upside",'Forecast Assumptions'!N20,'Forecast Assumptions'!T20)))-(IF('Forecast Assumptions'!$C$2="Base",'Forecast Assumptions'!H21,IF('Forecast Assumptions'!$C$2="Upside",'Forecast Assumptions'!N21,'Forecast Assumptions'!T21)))</f>
        <v/>
      </c>
    </row>
    <row r="15">
      <c r="A15" s="7" t="inlineStr">
        <is>
          <t>Interest Expense</t>
        </is>
      </c>
      <c r="D15" s="10">
        <f>(IF('Forecast Assumptions'!$C$2="Base",'Forecast Assumptions'!D12,IF('Forecast Assumptions'!$C$2="Upside",'Forecast Assumptions'!J12,'Forecast Assumptions'!P12)))*AVERAGE(D13,D14)</f>
        <v/>
      </c>
      <c r="E15" s="10">
        <f>(IF('Forecast Assumptions'!$C$2="Base",'Forecast Assumptions'!E12,IF('Forecast Assumptions'!$C$2="Upside",'Forecast Assumptions'!K12,'Forecast Assumptions'!Q12)))*AVERAGE(E13,E14)</f>
        <v/>
      </c>
      <c r="F15" s="10">
        <f>(IF('Forecast Assumptions'!$C$2="Base",'Forecast Assumptions'!F12,IF('Forecast Assumptions'!$C$2="Upside",'Forecast Assumptions'!L12,'Forecast Assumptions'!R12)))*AVERAGE(F13,F14)</f>
        <v/>
      </c>
      <c r="G15" s="10">
        <f>(IF('Forecast Assumptions'!$C$2="Base",'Forecast Assumptions'!G12,IF('Forecast Assumptions'!$C$2="Upside",'Forecast Assumptions'!M12,'Forecast Assumptions'!S12)))*AVERAGE(G13,G14)</f>
        <v/>
      </c>
      <c r="H15" s="10">
        <f>(IF('Forecast Assumptions'!$C$2="Base",'Forecast Assumptions'!H12,IF('Forecast Assumptions'!$C$2="Upside",'Forecast Assumptions'!N12,'Forecast Assumptions'!T12)))*AVERAGE(H13,H14)</f>
        <v/>
      </c>
    </row>
    <row r="16">
      <c r="A16" s="7" t="inlineStr">
        <is>
          <t>Net Other Income</t>
        </is>
      </c>
      <c r="D16" s="10">
        <f>IF('Forecast Assumptions'!$C$2="Base",'Forecast Assumptions'!D10,IF('Forecast Assumptions'!$C$2="Upside",'Forecast Assumptions'!J10,'Forecast Assumptions'!P10))</f>
        <v/>
      </c>
      <c r="E16" s="10">
        <f>IF('Forecast Assumptions'!$C$2="Base",'Forecast Assumptions'!E10,IF('Forecast Assumptions'!$C$2="Upside",'Forecast Assumptions'!K10,'Forecast Assumptions'!Q10))</f>
        <v/>
      </c>
      <c r="F16" s="10">
        <f>IF('Forecast Assumptions'!$C$2="Base",'Forecast Assumptions'!F10,IF('Forecast Assumptions'!$C$2="Upside",'Forecast Assumptions'!L10,'Forecast Assumptions'!R10))</f>
        <v/>
      </c>
      <c r="G16" s="10">
        <f>IF('Forecast Assumptions'!$C$2="Base",'Forecast Assumptions'!G10,IF('Forecast Assumptions'!$C$2="Upside",'Forecast Assumptions'!M10,'Forecast Assumptions'!S10))</f>
        <v/>
      </c>
      <c r="H16" s="10">
        <f>IF('Forecast Assumptions'!$C$2="Base",'Forecast Assumptions'!H10,IF('Forecast Assumptions'!$C$2="Upside",'Forecast Assumptions'!N10,'Forecast Assumptions'!T10))</f>
        <v/>
      </c>
    </row>
    <row r="17">
      <c r="A17" s="7" t="inlineStr">
        <is>
          <t>Pretax Income</t>
        </is>
      </c>
      <c r="D17" s="10">
        <f>D11-D15+D16</f>
        <v/>
      </c>
      <c r="E17" s="10">
        <f>E11-E15+E16</f>
        <v/>
      </c>
      <c r="F17" s="10">
        <f>F11-F15+F16</f>
        <v/>
      </c>
      <c r="G17" s="10">
        <f>G11-G15+G16</f>
        <v/>
      </c>
      <c r="H17" s="10">
        <f>H11-H15+H16</f>
        <v/>
      </c>
    </row>
    <row r="18">
      <c r="A18" s="7" t="inlineStr">
        <is>
          <t>Income Tax Expense</t>
        </is>
      </c>
      <c r="D18" s="10">
        <f>D17*(IF('Forecast Assumptions'!$C$2="Base",'Forecast Assumptions'!D9,IF('Forecast Assumptions'!$C$2="Upside",'Forecast Assumptions'!J9,'Forecast Assumptions'!P9)))</f>
        <v/>
      </c>
      <c r="E18" s="10">
        <f>E17*(IF('Forecast Assumptions'!$C$2="Base",'Forecast Assumptions'!E9,IF('Forecast Assumptions'!$C$2="Upside",'Forecast Assumptions'!K9,'Forecast Assumptions'!Q9)))</f>
        <v/>
      </c>
      <c r="F18" s="10">
        <f>F17*(IF('Forecast Assumptions'!$C$2="Base",'Forecast Assumptions'!F9,IF('Forecast Assumptions'!$C$2="Upside",'Forecast Assumptions'!L9,'Forecast Assumptions'!R9)))</f>
        <v/>
      </c>
      <c r="G18" s="10">
        <f>G17*(IF('Forecast Assumptions'!$C$2="Base",'Forecast Assumptions'!G9,IF('Forecast Assumptions'!$C$2="Upside",'Forecast Assumptions'!M9,'Forecast Assumptions'!S9)))</f>
        <v/>
      </c>
      <c r="H18" s="10">
        <f>H17*(IF('Forecast Assumptions'!$C$2="Base",'Forecast Assumptions'!H9,IF('Forecast Assumptions'!$C$2="Upside",'Forecast Assumptions'!N9,'Forecast Assumptions'!T9)))</f>
        <v/>
      </c>
    </row>
    <row r="19">
      <c r="A19" s="2" t="inlineStr">
        <is>
          <t>Net Income</t>
        </is>
      </c>
      <c r="D19" s="10">
        <f>D17-D18</f>
        <v/>
      </c>
      <c r="E19" s="10">
        <f>E17-E18</f>
        <v/>
      </c>
      <c r="F19" s="10">
        <f>F17-F18</f>
        <v/>
      </c>
      <c r="G19" s="10">
        <f>G17-G18</f>
        <v/>
      </c>
      <c r="H19" s="10">
        <f>H17-H18</f>
        <v/>
      </c>
    </row>
    <row r="20">
      <c r="A20" s="7" t="inlineStr">
        <is>
          <t>Diluted Shares (M)</t>
        </is>
      </c>
      <c r="D20" s="10">
        <f>455.6*(1+(IF('Forecast Assumptions'!$C$2="Base",'Forecast Assumptions'!D11,IF('Forecast Assumptions'!$C$2="Upside",'Forecast Assumptions'!J11,'Forecast Assumptions'!P11))))</f>
        <v/>
      </c>
      <c r="E20" s="10">
        <f>D20*(1+(IF('Forecast Assumptions'!$C$2="Base",'Forecast Assumptions'!E11,IF('Forecast Assumptions'!$C$2="Upside",'Forecast Assumptions'!K11,'Forecast Assumptions'!Q11))))</f>
        <v/>
      </c>
      <c r="F20" s="10">
        <f>E20*(1+(IF('Forecast Assumptions'!$C$2="Base",'Forecast Assumptions'!F11,IF('Forecast Assumptions'!$C$2="Upside",'Forecast Assumptions'!L11,'Forecast Assumptions'!R11))))</f>
        <v/>
      </c>
      <c r="G20" s="10">
        <f>F20*(1+(IF('Forecast Assumptions'!$C$2="Base",'Forecast Assumptions'!G11,IF('Forecast Assumptions'!$C$2="Upside",'Forecast Assumptions'!M11,'Forecast Assumptions'!S11))))</f>
        <v/>
      </c>
      <c r="H20" s="10">
        <f>G20*(1+(IF('Forecast Assumptions'!$C$2="Base",'Forecast Assumptions'!H11,IF('Forecast Assumptions'!$C$2="Upside",'Forecast Assumptions'!N11,'Forecast Assumptions'!T11))))</f>
        <v/>
      </c>
    </row>
    <row r="21">
      <c r="A21" s="7" t="inlineStr">
        <is>
          <t>Diluted EPS ($)</t>
        </is>
      </c>
      <c r="D21" s="17">
        <f>D19/D20</f>
        <v/>
      </c>
      <c r="E21" s="17">
        <f>E19/E20</f>
        <v/>
      </c>
      <c r="F21" s="17">
        <f>F19/F20</f>
        <v/>
      </c>
      <c r="G21" s="17">
        <f>G19/G20</f>
        <v/>
      </c>
      <c r="H21" s="17">
        <f>H19/H20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H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Cash-Flow Bridge (LIVE, driven by Sheet 6 selector)</t>
        </is>
      </c>
    </row>
    <row r="2">
      <c r="A2" s="2" t="inlineStr">
        <is>
          <t>Selected scenario:</t>
        </is>
      </c>
      <c r="B2" s="27">
        <f>'Forecast Assumptions'!$C$2</f>
        <v/>
      </c>
    </row>
    <row r="4">
      <c r="A4" s="9" t="inlineStr">
        <is>
          <t>Line Item</t>
        </is>
      </c>
      <c r="B4" s="9" t="n"/>
      <c r="C4" s="9" t="n"/>
      <c r="D4" s="9" t="inlineStr">
        <is>
          <t>FY2026</t>
        </is>
      </c>
      <c r="E4" s="9" t="inlineStr">
        <is>
          <t>FY2027</t>
        </is>
      </c>
      <c r="F4" s="9" t="inlineStr">
        <is>
          <t>FY2028</t>
        </is>
      </c>
      <c r="G4" s="9" t="inlineStr">
        <is>
          <t>FY2029</t>
        </is>
      </c>
      <c r="H4" s="9" t="inlineStr">
        <is>
          <t>FY2030</t>
        </is>
      </c>
    </row>
    <row r="5">
      <c r="A5" s="7" t="inlineStr">
        <is>
          <t>Inventory Balance</t>
        </is>
      </c>
      <c r="D5" s="10">
        <f>'Scenario Forecast'!D5*(IF('Forecast Assumptions'!$C$2="Base",'Forecast Assumptions'!D15,IF('Forecast Assumptions'!$C$2="Upside",'Forecast Assumptions'!J15,'Forecast Assumptions'!P15)))</f>
        <v/>
      </c>
      <c r="E5" s="10">
        <f>'Scenario Forecast'!E5*(IF('Forecast Assumptions'!$C$2="Base",'Forecast Assumptions'!E15,IF('Forecast Assumptions'!$C$2="Upside",'Forecast Assumptions'!K15,'Forecast Assumptions'!Q15)))</f>
        <v/>
      </c>
      <c r="F5" s="10">
        <f>'Scenario Forecast'!F5*(IF('Forecast Assumptions'!$C$2="Base",'Forecast Assumptions'!F15,IF('Forecast Assumptions'!$C$2="Upside",'Forecast Assumptions'!L15,'Forecast Assumptions'!R15)))</f>
        <v/>
      </c>
      <c r="G5" s="10">
        <f>'Scenario Forecast'!G5*(IF('Forecast Assumptions'!$C$2="Base",'Forecast Assumptions'!G15,IF('Forecast Assumptions'!$C$2="Upside",'Forecast Assumptions'!M15,'Forecast Assumptions'!S15)))</f>
        <v/>
      </c>
      <c r="H5" s="10">
        <f>'Scenario Forecast'!H5*(IF('Forecast Assumptions'!$C$2="Base",'Forecast Assumptions'!H15,IF('Forecast Assumptions'!$C$2="Upside",'Forecast Assumptions'!N15,'Forecast Assumptions'!T15)))</f>
        <v/>
      </c>
    </row>
    <row r="6">
      <c r="A6" s="7" t="inlineStr">
        <is>
          <t xml:space="preserve">  Inventory Cash Impact</t>
        </is>
      </c>
      <c r="D6" s="10">
        <f>-(D5-12304.0)</f>
        <v/>
      </c>
      <c r="E6" s="10">
        <f>-(E5-D5)</f>
        <v/>
      </c>
      <c r="F6" s="10">
        <f>-(F5-E5)</f>
        <v/>
      </c>
      <c r="G6" s="10">
        <f>-(G5-F5)</f>
        <v/>
      </c>
      <c r="H6" s="10">
        <f>-(H5-G5)</f>
        <v/>
      </c>
    </row>
    <row r="7">
      <c r="A7" s="7" t="inlineStr">
        <is>
          <t>Accounts Payable Balance</t>
        </is>
      </c>
      <c r="D7" s="10">
        <f>'Scenario Forecast'!D6*(IF('Forecast Assumptions'!$C$2="Base",'Forecast Assumptions'!D16,IF('Forecast Assumptions'!$C$2="Upside",'Forecast Assumptions'!J16,'Forecast Assumptions'!P16)))</f>
        <v/>
      </c>
      <c r="E7" s="10">
        <f>'Scenario Forecast'!E6*(IF('Forecast Assumptions'!$C$2="Base",'Forecast Assumptions'!E16,IF('Forecast Assumptions'!$C$2="Upside",'Forecast Assumptions'!K16,'Forecast Assumptions'!Q16)))</f>
        <v/>
      </c>
      <c r="F7" s="10">
        <f>'Scenario Forecast'!F6*(IF('Forecast Assumptions'!$C$2="Base",'Forecast Assumptions'!F16,IF('Forecast Assumptions'!$C$2="Upside",'Forecast Assumptions'!L16,'Forecast Assumptions'!R16)))</f>
        <v/>
      </c>
      <c r="G7" s="10">
        <f>'Scenario Forecast'!G6*(IF('Forecast Assumptions'!$C$2="Base",'Forecast Assumptions'!G16,IF('Forecast Assumptions'!$C$2="Upside",'Forecast Assumptions'!M16,'Forecast Assumptions'!S16)))</f>
        <v/>
      </c>
      <c r="H7" s="10">
        <f>'Scenario Forecast'!H6*(IF('Forecast Assumptions'!$C$2="Base",'Forecast Assumptions'!H16,IF('Forecast Assumptions'!$C$2="Upside",'Forecast Assumptions'!N16,'Forecast Assumptions'!T16)))</f>
        <v/>
      </c>
    </row>
    <row r="8">
      <c r="A8" s="7" t="inlineStr">
        <is>
          <t xml:space="preserve">  AP Cash Impact</t>
        </is>
      </c>
      <c r="D8" s="10">
        <f>D7-12622.0</f>
        <v/>
      </c>
      <c r="E8" s="10">
        <f>E7-D7</f>
        <v/>
      </c>
      <c r="F8" s="10">
        <f>F7-E7</f>
        <v/>
      </c>
      <c r="G8" s="10">
        <f>G7-F7</f>
        <v/>
      </c>
      <c r="H8" s="10">
        <f>H7-G7</f>
        <v/>
      </c>
    </row>
    <row r="9">
      <c r="A9" s="7" t="inlineStr">
        <is>
          <t>D&amp;A Cash-Flow Add-back</t>
        </is>
      </c>
      <c r="D9" s="10">
        <f>'Scenario Forecast'!D5*(IF('Forecast Assumptions'!$C$2="Base",'Forecast Assumptions'!D14,IF('Forecast Assumptions'!$C$2="Upside",'Forecast Assumptions'!J14,'Forecast Assumptions'!P14)))</f>
        <v/>
      </c>
      <c r="E9" s="10">
        <f>'Scenario Forecast'!E5*(IF('Forecast Assumptions'!$C$2="Base",'Forecast Assumptions'!E14,IF('Forecast Assumptions'!$C$2="Upside",'Forecast Assumptions'!K14,'Forecast Assumptions'!Q14)))</f>
        <v/>
      </c>
      <c r="F9" s="10">
        <f>'Scenario Forecast'!F5*(IF('Forecast Assumptions'!$C$2="Base",'Forecast Assumptions'!F14,IF('Forecast Assumptions'!$C$2="Upside",'Forecast Assumptions'!L14,'Forecast Assumptions'!R14)))</f>
        <v/>
      </c>
      <c r="G9" s="10">
        <f>'Scenario Forecast'!G5*(IF('Forecast Assumptions'!$C$2="Base",'Forecast Assumptions'!G14,IF('Forecast Assumptions'!$C$2="Upside",'Forecast Assumptions'!M14,'Forecast Assumptions'!S14)))</f>
        <v/>
      </c>
      <c r="H9" s="10">
        <f>'Scenario Forecast'!H5*(IF('Forecast Assumptions'!$C$2="Base",'Forecast Assumptions'!H14,IF('Forecast Assumptions'!$C$2="Upside",'Forecast Assumptions'!N14,'Forecast Assumptions'!T14)))</f>
        <v/>
      </c>
    </row>
    <row r="10">
      <c r="A10" s="7" t="inlineStr">
        <is>
          <t>Other Operating Cash Adjustments</t>
        </is>
      </c>
      <c r="D10" s="10">
        <f>IF('Forecast Assumptions'!$C$2="Base",'Forecast Assumptions'!D17,IF('Forecast Assumptions'!$C$2="Upside",'Forecast Assumptions'!J17,'Forecast Assumptions'!P17))</f>
        <v/>
      </c>
      <c r="E10" s="10">
        <f>IF('Forecast Assumptions'!$C$2="Base",'Forecast Assumptions'!E17,IF('Forecast Assumptions'!$C$2="Upside",'Forecast Assumptions'!K17,'Forecast Assumptions'!Q17))</f>
        <v/>
      </c>
      <c r="F10" s="10">
        <f>IF('Forecast Assumptions'!$C$2="Base",'Forecast Assumptions'!F17,IF('Forecast Assumptions'!$C$2="Upside",'Forecast Assumptions'!L17,'Forecast Assumptions'!R17))</f>
        <v/>
      </c>
      <c r="G10" s="10">
        <f>IF('Forecast Assumptions'!$C$2="Base",'Forecast Assumptions'!G17,IF('Forecast Assumptions'!$C$2="Upside",'Forecast Assumptions'!M17,'Forecast Assumptions'!S17))</f>
        <v/>
      </c>
      <c r="H10" s="10">
        <f>IF('Forecast Assumptions'!$C$2="Base",'Forecast Assumptions'!H17,IF('Forecast Assumptions'!$C$2="Upside",'Forecast Assumptions'!N17,'Forecast Assumptions'!T17))</f>
        <v/>
      </c>
    </row>
    <row r="11">
      <c r="A11" s="2" t="inlineStr">
        <is>
          <t>Cash Flow from Operations (CFO)</t>
        </is>
      </c>
      <c r="D11" s="10">
        <f>'Scenario Forecast'!D19+D9+D6+D8+D10</f>
        <v/>
      </c>
      <c r="E11" s="10">
        <f>'Scenario Forecast'!E19+E9+E6+E8+E10</f>
        <v/>
      </c>
      <c r="F11" s="10">
        <f>'Scenario Forecast'!F19+F9+F6+F8+F10</f>
        <v/>
      </c>
      <c r="G11" s="10">
        <f>'Scenario Forecast'!G19+G9+G6+G8+G10</f>
        <v/>
      </c>
      <c r="H11" s="10">
        <f>'Scenario Forecast'!H19+H9+H6+H8+H10</f>
        <v/>
      </c>
    </row>
    <row r="12">
      <c r="A12" s="7" t="inlineStr">
        <is>
          <t>Capital Expenditures (CapEx)</t>
        </is>
      </c>
      <c r="D12" s="10">
        <f>'Scenario Forecast'!D5*(IF('Forecast Assumptions'!$C$2="Base",'Forecast Assumptions'!D13,IF('Forecast Assumptions'!$C$2="Upside",'Forecast Assumptions'!J13,'Forecast Assumptions'!P13)))</f>
        <v/>
      </c>
      <c r="E12" s="10">
        <f>'Scenario Forecast'!E5*(IF('Forecast Assumptions'!$C$2="Base",'Forecast Assumptions'!E13,IF('Forecast Assumptions'!$C$2="Upside",'Forecast Assumptions'!K13,'Forecast Assumptions'!Q13)))</f>
        <v/>
      </c>
      <c r="F12" s="10">
        <f>'Scenario Forecast'!F5*(IF('Forecast Assumptions'!$C$2="Base",'Forecast Assumptions'!F13,IF('Forecast Assumptions'!$C$2="Upside",'Forecast Assumptions'!L13,'Forecast Assumptions'!R13)))</f>
        <v/>
      </c>
      <c r="G12" s="10">
        <f>'Scenario Forecast'!G5*(IF('Forecast Assumptions'!$C$2="Base",'Forecast Assumptions'!G13,IF('Forecast Assumptions'!$C$2="Upside",'Forecast Assumptions'!M13,'Forecast Assumptions'!S13)))</f>
        <v/>
      </c>
      <c r="H12" s="10">
        <f>'Scenario Forecast'!H5*(IF('Forecast Assumptions'!$C$2="Base",'Forecast Assumptions'!H13,IF('Forecast Assumptions'!$C$2="Upside",'Forecast Assumptions'!N13,'Forecast Assumptions'!T13)))</f>
        <v/>
      </c>
    </row>
    <row r="13">
      <c r="A13" s="2" t="inlineStr">
        <is>
          <t>Free Cash Flow (CFO - CapEx)</t>
        </is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</row>
    <row r="14">
      <c r="A14" s="7" t="inlineStr">
        <is>
          <t>Total Investing Cash Flow (=-CapEx here)</t>
        </is>
      </c>
      <c r="D14" s="10">
        <f>-D12</f>
        <v/>
      </c>
      <c r="E14" s="10">
        <f>-E12</f>
        <v/>
      </c>
      <c r="F14" s="10">
        <f>-F12</f>
        <v/>
      </c>
      <c r="G14" s="10">
        <f>-G12</f>
        <v/>
      </c>
      <c r="H14" s="10">
        <f>-H12</f>
        <v/>
      </c>
    </row>
    <row r="15">
      <c r="A15" s="7" t="inlineStr">
        <is>
          <t>Dividend per Share ($)</t>
        </is>
      </c>
      <c r="D15" s="17">
        <f>4.506145741878841*(1+(IF('Forecast Assumptions'!$C$2="Base",'Forecast Assumptions'!D18,IF('Forecast Assumptions'!$C$2="Upside",'Forecast Assumptions'!J18,'Forecast Assumptions'!P18))))</f>
        <v/>
      </c>
      <c r="E15" s="17">
        <f>D15*(1+(IF('Forecast Assumptions'!$C$2="Base",'Forecast Assumptions'!E18,IF('Forecast Assumptions'!$C$2="Upside",'Forecast Assumptions'!K18,'Forecast Assumptions'!Q18))))</f>
        <v/>
      </c>
      <c r="F15" s="17">
        <f>E15*(1+(IF('Forecast Assumptions'!$C$2="Base",'Forecast Assumptions'!F18,IF('Forecast Assumptions'!$C$2="Upside",'Forecast Assumptions'!L18,'Forecast Assumptions'!R18))))</f>
        <v/>
      </c>
      <c r="G15" s="17">
        <f>F15*(1+(IF('Forecast Assumptions'!$C$2="Base",'Forecast Assumptions'!G18,IF('Forecast Assumptions'!$C$2="Upside",'Forecast Assumptions'!M18,'Forecast Assumptions'!S18))))</f>
        <v/>
      </c>
      <c r="H15" s="17">
        <f>G15*(1+(IF('Forecast Assumptions'!$C$2="Base",'Forecast Assumptions'!H18,IF('Forecast Assumptions'!$C$2="Upside",'Forecast Assumptions'!N18,'Forecast Assumptions'!T18))))</f>
        <v/>
      </c>
    </row>
    <row r="16">
      <c r="A16" s="7" t="inlineStr">
        <is>
          <t>Dividends Paid</t>
        </is>
      </c>
      <c r="D16" s="10">
        <f>D15*'Scenario Forecast'!D20</f>
        <v/>
      </c>
      <c r="E16" s="10">
        <f>E15*'Scenario Forecast'!E20</f>
        <v/>
      </c>
      <c r="F16" s="10">
        <f>F15*'Scenario Forecast'!F20</f>
        <v/>
      </c>
      <c r="G16" s="10">
        <f>G15*'Scenario Forecast'!G20</f>
        <v/>
      </c>
      <c r="H16" s="10">
        <f>H15*'Scenario Forecast'!H20</f>
        <v/>
      </c>
    </row>
    <row r="17">
      <c r="A17" s="7" t="inlineStr">
        <is>
          <t>Post-Dividend FCF</t>
        </is>
      </c>
      <c r="D17" s="10">
        <f>D13-D16</f>
        <v/>
      </c>
      <c r="E17" s="10">
        <f>E13-E16</f>
        <v/>
      </c>
      <c r="F17" s="10">
        <f>F13-F16</f>
        <v/>
      </c>
      <c r="G17" s="10">
        <f>G13-G16</f>
        <v/>
      </c>
      <c r="H17" s="10">
        <f>H13-H16</f>
        <v/>
      </c>
    </row>
    <row r="18">
      <c r="A18" s="7" t="inlineStr">
        <is>
          <t>Share Repurchases</t>
        </is>
      </c>
      <c r="D18" s="10">
        <f>MAX(0,D17*(IF('Forecast Assumptions'!$C$2="Base",'Forecast Assumptions'!D19,IF('Forecast Assumptions'!$C$2="Upside",'Forecast Assumptions'!J19,'Forecast Assumptions'!P19))))</f>
        <v/>
      </c>
      <c r="E18" s="10">
        <f>MAX(0,E17*(IF('Forecast Assumptions'!$C$2="Base",'Forecast Assumptions'!E19,IF('Forecast Assumptions'!$C$2="Upside",'Forecast Assumptions'!K19,'Forecast Assumptions'!Q19))))</f>
        <v/>
      </c>
      <c r="F18" s="10">
        <f>MAX(0,F17*(IF('Forecast Assumptions'!$C$2="Base",'Forecast Assumptions'!F19,IF('Forecast Assumptions'!$C$2="Upside",'Forecast Assumptions'!L19,'Forecast Assumptions'!R19))))</f>
        <v/>
      </c>
      <c r="G18" s="10">
        <f>MAX(0,G17*(IF('Forecast Assumptions'!$C$2="Base",'Forecast Assumptions'!G19,IF('Forecast Assumptions'!$C$2="Upside",'Forecast Assumptions'!M19,'Forecast Assumptions'!S19))))</f>
        <v/>
      </c>
      <c r="H18" s="10">
        <f>MAX(0,H17*(IF('Forecast Assumptions'!$C$2="Base",'Forecast Assumptions'!H19,IF('Forecast Assumptions'!$C$2="Upside",'Forecast Assumptions'!N19,'Forecast Assumptions'!T19))))</f>
        <v/>
      </c>
    </row>
    <row r="19">
      <c r="A19" s="7" t="inlineStr">
        <is>
          <t>Debt Proceeds</t>
        </is>
      </c>
      <c r="D19" s="10">
        <f>IF('Forecast Assumptions'!$C$2="Base",'Forecast Assumptions'!D20,IF('Forecast Assumptions'!$C$2="Upside",'Forecast Assumptions'!J20,'Forecast Assumptions'!P20))</f>
        <v/>
      </c>
      <c r="E19" s="10">
        <f>IF('Forecast Assumptions'!$C$2="Base",'Forecast Assumptions'!E20,IF('Forecast Assumptions'!$C$2="Upside",'Forecast Assumptions'!K20,'Forecast Assumptions'!Q20))</f>
        <v/>
      </c>
      <c r="F19" s="10">
        <f>IF('Forecast Assumptions'!$C$2="Base",'Forecast Assumptions'!F20,IF('Forecast Assumptions'!$C$2="Upside",'Forecast Assumptions'!L20,'Forecast Assumptions'!R20))</f>
        <v/>
      </c>
      <c r="G19" s="10">
        <f>IF('Forecast Assumptions'!$C$2="Base",'Forecast Assumptions'!G20,IF('Forecast Assumptions'!$C$2="Upside",'Forecast Assumptions'!M20,'Forecast Assumptions'!S20))</f>
        <v/>
      </c>
      <c r="H19" s="10">
        <f>IF('Forecast Assumptions'!$C$2="Base",'Forecast Assumptions'!H20,IF('Forecast Assumptions'!$C$2="Upside",'Forecast Assumptions'!N20,'Forecast Assumptions'!T20))</f>
        <v/>
      </c>
    </row>
    <row r="20">
      <c r="A20" s="7" t="inlineStr">
        <is>
          <t>Debt Repayments</t>
        </is>
      </c>
      <c r="D20" s="10">
        <f>IF('Forecast Assumptions'!$C$2="Base",'Forecast Assumptions'!D21,IF('Forecast Assumptions'!$C$2="Upside",'Forecast Assumptions'!J21,'Forecast Assumptions'!P21))</f>
        <v/>
      </c>
      <c r="E20" s="10">
        <f>IF('Forecast Assumptions'!$C$2="Base",'Forecast Assumptions'!E21,IF('Forecast Assumptions'!$C$2="Upside",'Forecast Assumptions'!K21,'Forecast Assumptions'!Q21))</f>
        <v/>
      </c>
      <c r="F20" s="10">
        <f>IF('Forecast Assumptions'!$C$2="Base",'Forecast Assumptions'!F21,IF('Forecast Assumptions'!$C$2="Upside",'Forecast Assumptions'!L21,'Forecast Assumptions'!R21))</f>
        <v/>
      </c>
      <c r="G20" s="10">
        <f>IF('Forecast Assumptions'!$C$2="Base",'Forecast Assumptions'!G21,IF('Forecast Assumptions'!$C$2="Upside",'Forecast Assumptions'!M21,'Forecast Assumptions'!S21))</f>
        <v/>
      </c>
      <c r="H20" s="10">
        <f>IF('Forecast Assumptions'!$C$2="Base",'Forecast Assumptions'!H21,IF('Forecast Assumptions'!$C$2="Upside",'Forecast Assumptions'!N21,'Forecast Assumptions'!T21))</f>
        <v/>
      </c>
    </row>
    <row r="21">
      <c r="A21" s="7" t="inlineStr">
        <is>
          <t>Financing Cash Flow</t>
        </is>
      </c>
      <c r="D21" s="10">
        <f>-D16-D18+D19-D20</f>
        <v/>
      </c>
      <c r="E21" s="10">
        <f>-E16-E18+E19-E20</f>
        <v/>
      </c>
      <c r="F21" s="10">
        <f>-F16-F18+F19-F20</f>
        <v/>
      </c>
      <c r="G21" s="10">
        <f>-G16-G18+G19-G20</f>
        <v/>
      </c>
      <c r="H21" s="10">
        <f>-H16-H18+H19-H20</f>
        <v/>
      </c>
    </row>
    <row r="22">
      <c r="A22" s="7" t="inlineStr">
        <is>
          <t>Beginning Cash</t>
        </is>
      </c>
      <c r="D22" s="10">
        <f>5488.0</f>
        <v/>
      </c>
      <c r="E22" s="10">
        <f>D24</f>
        <v/>
      </c>
      <c r="F22" s="10">
        <f>E24</f>
        <v/>
      </c>
      <c r="G22" s="10">
        <f>F24</f>
        <v/>
      </c>
      <c r="H22" s="10">
        <f>G24</f>
        <v/>
      </c>
    </row>
    <row r="23">
      <c r="A23" s="7" t="inlineStr">
        <is>
          <t>Net Change in Cash</t>
        </is>
      </c>
      <c r="D23" s="10">
        <f>D11+D14+D21</f>
        <v/>
      </c>
      <c r="E23" s="10">
        <f>E11+E14+E21</f>
        <v/>
      </c>
      <c r="F23" s="10">
        <f>F11+F14+F21</f>
        <v/>
      </c>
      <c r="G23" s="10">
        <f>G11+G14+G21</f>
        <v/>
      </c>
      <c r="H23" s="10">
        <f>H11+H14+H21</f>
        <v/>
      </c>
    </row>
    <row r="24">
      <c r="A24" s="2" t="inlineStr">
        <is>
          <t>Ending Cash</t>
        </is>
      </c>
      <c r="D24" s="10">
        <f>D22+D23</f>
        <v/>
      </c>
      <c r="E24" s="10">
        <f>E22+E23</f>
        <v/>
      </c>
      <c r="F24" s="10">
        <f>F22+F23</f>
        <v/>
      </c>
      <c r="G24" s="10">
        <f>G22+G23</f>
        <v/>
      </c>
      <c r="H24" s="10">
        <f>H22+H23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K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Investment Capacity (LIVE, driven by Sheet 6 selector)</t>
        </is>
      </c>
    </row>
    <row r="2">
      <c r="A2" s="2" t="inlineStr">
        <is>
          <t>Selected scenario:</t>
        </is>
      </c>
      <c r="B2" s="27">
        <f>'Forecast Assumptions'!$C$2</f>
        <v/>
      </c>
    </row>
    <row r="4">
      <c r="A4" s="9" t="inlineStr">
        <is>
          <t>Line Item</t>
        </is>
      </c>
      <c r="B4" s="9" t="n"/>
      <c r="C4" s="9" t="n"/>
      <c r="D4" s="9" t="inlineStr">
        <is>
          <t>FY2026</t>
        </is>
      </c>
      <c r="E4" s="9" t="inlineStr">
        <is>
          <t>FY2027</t>
        </is>
      </c>
      <c r="F4" s="9" t="inlineStr">
        <is>
          <t>FY2028</t>
        </is>
      </c>
      <c r="G4" s="9" t="inlineStr">
        <is>
          <t>FY2029</t>
        </is>
      </c>
      <c r="H4" s="9" t="inlineStr">
        <is>
          <t>FY2030</t>
        </is>
      </c>
    </row>
    <row r="5">
      <c r="A5" s="7" t="inlineStr">
        <is>
          <t>Gross FCF Capacity (=CFO-CapEx)</t>
        </is>
      </c>
      <c r="D5" s="10">
        <f>'Cash-Flow Bridge'!D13</f>
        <v/>
      </c>
      <c r="E5" s="10">
        <f>'Cash-Flow Bridge'!E13</f>
        <v/>
      </c>
      <c r="F5" s="10">
        <f>'Cash-Flow Bridge'!F13</f>
        <v/>
      </c>
      <c r="G5" s="10">
        <f>'Cash-Flow Bridge'!G13</f>
        <v/>
      </c>
      <c r="H5" s="10">
        <f>'Cash-Flow Bridge'!H13</f>
        <v/>
      </c>
    </row>
    <row r="6">
      <c r="A6" s="7" t="inlineStr">
        <is>
          <t>Post-Dividend Capacity</t>
        </is>
      </c>
      <c r="D6" s="10">
        <f>'Cash-Flow Bridge'!D13-'Cash-Flow Bridge'!D16</f>
        <v/>
      </c>
      <c r="E6" s="10">
        <f>'Cash-Flow Bridge'!E13-'Cash-Flow Bridge'!E16</f>
        <v/>
      </c>
      <c r="F6" s="10">
        <f>'Cash-Flow Bridge'!F13-'Cash-Flow Bridge'!F16</f>
        <v/>
      </c>
      <c r="G6" s="10">
        <f>'Cash-Flow Bridge'!G13-'Cash-Flow Bridge'!G16</f>
        <v/>
      </c>
      <c r="H6" s="10">
        <f>'Cash-Flow Bridge'!H13-'Cash-Flow Bridge'!H16</f>
        <v/>
      </c>
    </row>
    <row r="7">
      <c r="A7" s="7" t="inlineStr">
        <is>
          <t>Mandatory Financing Flows (div + debt sched.)</t>
        </is>
      </c>
      <c r="D7" s="10">
        <f>-'Cash-Flow Bridge'!D16+'Cash-Flow Bridge'!D19-'Cash-Flow Bridge'!D20</f>
        <v/>
      </c>
      <c r="E7" s="10">
        <f>-'Cash-Flow Bridge'!E16+'Cash-Flow Bridge'!E19-'Cash-Flow Bridge'!E20</f>
        <v/>
      </c>
      <c r="F7" s="10">
        <f>-'Cash-Flow Bridge'!F16+'Cash-Flow Bridge'!F19-'Cash-Flow Bridge'!F20</f>
        <v/>
      </c>
      <c r="G7" s="10">
        <f>-'Cash-Flow Bridge'!G16+'Cash-Flow Bridge'!G19-'Cash-Flow Bridge'!G20</f>
        <v/>
      </c>
      <c r="H7" s="10">
        <f>-'Cash-Flow Bridge'!H16+'Cash-Flow Bridge'!H19-'Cash-Flow Bridge'!H20</f>
        <v/>
      </c>
    </row>
    <row r="8">
      <c r="A8" s="7" t="inlineStr">
        <is>
          <t>Pre-Discretionary Ending Cash</t>
        </is>
      </c>
      <c r="D8" s="10">
        <f>'Cash-Flow Bridge'!D22+'Cash-Flow Bridge'!D11+'Cash-Flow Bridge'!D14+D7</f>
        <v/>
      </c>
      <c r="E8" s="10">
        <f>'Cash-Flow Bridge'!E22+'Cash-Flow Bridge'!E11+'Cash-Flow Bridge'!E14+E7</f>
        <v/>
      </c>
      <c r="F8" s="10">
        <f>'Cash-Flow Bridge'!F22+'Cash-Flow Bridge'!F11+'Cash-Flow Bridge'!F14+F7</f>
        <v/>
      </c>
      <c r="G8" s="10">
        <f>'Cash-Flow Bridge'!G22+'Cash-Flow Bridge'!G11+'Cash-Flow Bridge'!G14+G7</f>
        <v/>
      </c>
      <c r="H8" s="10">
        <f>'Cash-Flow Bridge'!H22+'Cash-Flow Bridge'!H11+'Cash-Flow Bridge'!H14+H7</f>
        <v/>
      </c>
    </row>
    <row r="9">
      <c r="A9" s="7" t="inlineStr">
        <is>
          <t>Minimum Cash Buffer</t>
        </is>
      </c>
      <c r="D9" s="10">
        <f>'Scenario Forecast'!D5*(IF('Forecast Assumptions'!$C$2="Base",'Forecast Assumptions'!D23,IF('Forecast Assumptions'!$C$2="Upside",'Forecast Assumptions'!J23,'Forecast Assumptions'!P23)))</f>
        <v/>
      </c>
      <c r="E9" s="10">
        <f>'Scenario Forecast'!E5*(IF('Forecast Assumptions'!$C$2="Base",'Forecast Assumptions'!E23,IF('Forecast Assumptions'!$C$2="Upside",'Forecast Assumptions'!K23,'Forecast Assumptions'!Q23)))</f>
        <v/>
      </c>
      <c r="F9" s="10">
        <f>'Scenario Forecast'!F5*(IF('Forecast Assumptions'!$C$2="Base",'Forecast Assumptions'!F23,IF('Forecast Assumptions'!$C$2="Upside",'Forecast Assumptions'!L23,'Forecast Assumptions'!R23)))</f>
        <v/>
      </c>
      <c r="G9" s="10">
        <f>'Scenario Forecast'!G5*(IF('Forecast Assumptions'!$C$2="Base",'Forecast Assumptions'!G23,IF('Forecast Assumptions'!$C$2="Upside",'Forecast Assumptions'!M23,'Forecast Assumptions'!S23)))</f>
        <v/>
      </c>
      <c r="H9" s="10">
        <f>'Scenario Forecast'!H5*(IF('Forecast Assumptions'!$C$2="Base",'Forecast Assumptions'!H23,IF('Forecast Assumptions'!$C$2="Upside",'Forecast Assumptions'!N23,'Forecast Assumptions'!T23)))</f>
        <v/>
      </c>
    </row>
    <row r="10">
      <c r="A10" s="7" t="inlineStr">
        <is>
          <t>Near-Term Debt Repayment Reserve</t>
        </is>
      </c>
      <c r="D10" s="10">
        <f>'Cash-Flow Bridge'!D20</f>
        <v/>
      </c>
      <c r="E10" s="10">
        <f>'Cash-Flow Bridge'!E20</f>
        <v/>
      </c>
      <c r="F10" s="10">
        <f>'Cash-Flow Bridge'!F20</f>
        <v/>
      </c>
      <c r="G10" s="10">
        <f>'Cash-Flow Bridge'!G20</f>
        <v/>
      </c>
      <c r="H10" s="10">
        <f>'Cash-Flow Bridge'!H20</f>
        <v/>
      </c>
    </row>
    <row r="11">
      <c r="A11" s="2" t="inlineStr">
        <is>
          <t>Legacy Gross Pre-Discretionary Ceiling (DEPRECATED -- see note below; not an executive KPI)</t>
        </is>
      </c>
      <c r="D11" s="10">
        <f>MAX(0,D8-D9-D10)</f>
        <v/>
      </c>
      <c r="E11" s="10">
        <f>MAX(0,E8-E9-E10)</f>
        <v/>
      </c>
      <c r="F11" s="10">
        <f>MAX(0,F8-F9-F10)</f>
        <v/>
      </c>
      <c r="G11" s="10">
        <f>MAX(0,G8-G9-G10)</f>
        <v/>
      </c>
      <c r="H11" s="10">
        <f>MAX(0,H8-H9-H10)</f>
        <v/>
      </c>
    </row>
    <row r="12">
      <c r="A12" s="7" t="inlineStr">
        <is>
          <t>Legacy Cumulative (DEPRECATED -- see Corrected Capacity Taxonomy below)</t>
        </is>
      </c>
      <c r="D12" s="22">
        <f>"see terminal year (FY2030)"</f>
        <v/>
      </c>
      <c r="E12" s="22">
        <f>"see terminal year (FY2030)"</f>
        <v/>
      </c>
      <c r="F12" s="22">
        <f>"see terminal year (FY2030)"</f>
        <v/>
      </c>
      <c r="G12" s="22">
        <f>"see terminal year (FY2030)"</f>
        <v/>
      </c>
      <c r="H12" s="10">
        <f>H11+0</f>
        <v/>
      </c>
    </row>
    <row r="13">
      <c r="A13" s="7" t="inlineStr">
        <is>
          <t>Funding Warning? (1=YES)</t>
        </is>
      </c>
      <c r="D13" s="28">
        <f>IF('Cash-Flow Bridge'!D24&lt;D9,1,0)</f>
        <v/>
      </c>
      <c r="E13" s="28">
        <f>IF('Cash-Flow Bridge'!E24&lt;E9,1,0)</f>
        <v/>
      </c>
      <c r="F13" s="28">
        <f>IF('Cash-Flow Bridge'!F24&lt;F9,1,0)</f>
        <v/>
      </c>
      <c r="G13" s="28">
        <f>IF('Cash-Flow Bridge'!G24&lt;G9,1,0)</f>
        <v/>
      </c>
      <c r="H13" s="28">
        <f>IF('Cash-Flow Bridge'!H24&lt;H9,1,0)</f>
        <v/>
      </c>
    </row>
    <row r="15" ht="30" customHeight="1">
      <c r="A15" s="14" t="inlineStr">
        <is>
          <t>NOTE: the legacy row above is DEPRECATED -- it is a gross, pre-discretionary ceiling (includes carried-forward cash and new borrowing; never subtracts this year's own repurchases). It is preserved, unmodified, for backward compatibility only. The corrected taxonomy below is the executive-facing figure. See docs/investment_capacity_correction_evidence.md.</t>
        </is>
      </c>
    </row>
    <row r="17">
      <c r="A17" s="29" t="inlineStr">
        <is>
          <t>CORRECTED CAPACITY TAXONOMY (live, selected scenario)</t>
        </is>
      </c>
    </row>
    <row r="18">
      <c r="A18" s="9" t="inlineStr">
        <is>
          <t>Line Item</t>
        </is>
      </c>
      <c r="B18" s="9" t="n"/>
      <c r="C18" s="9" t="n"/>
      <c r="D18" s="9" t="inlineStr">
        <is>
          <t>FY2026</t>
        </is>
      </c>
      <c r="E18" s="9" t="inlineStr">
        <is>
          <t>FY2027</t>
        </is>
      </c>
      <c r="F18" s="9" t="inlineStr">
        <is>
          <t>FY2028</t>
        </is>
      </c>
      <c r="G18" s="9" t="inlineStr">
        <is>
          <t>FY2029</t>
        </is>
      </c>
      <c r="H18" s="9" t="inlineStr">
        <is>
          <t>FY2030</t>
        </is>
      </c>
    </row>
    <row r="19">
      <c r="A19" s="7" t="inlineStr">
        <is>
          <t>A. Operating FCF (= CFO - CapEx)</t>
        </is>
      </c>
      <c r="D19" s="10">
        <f>'Cash-Flow Bridge'!D13</f>
        <v/>
      </c>
      <c r="E19" s="10">
        <f>'Cash-Flow Bridge'!E13</f>
        <v/>
      </c>
      <c r="F19" s="10">
        <f>'Cash-Flow Bridge'!F13</f>
        <v/>
      </c>
      <c r="G19" s="10">
        <f>'Cash-Flow Bridge'!G13</f>
        <v/>
      </c>
      <c r="H19" s="10">
        <f>'Cash-Flow Bridge'!H13</f>
        <v/>
      </c>
    </row>
    <row r="20">
      <c r="A20" s="7" t="inlineStr">
        <is>
          <t>B. Post-Dividend Internal Generation</t>
        </is>
      </c>
      <c r="D20" s="10">
        <f>D19-'Cash-Flow Bridge'!D16</f>
        <v/>
      </c>
      <c r="E20" s="10">
        <f>E19-'Cash-Flow Bridge'!E16</f>
        <v/>
      </c>
      <c r="F20" s="10">
        <f>F19-'Cash-Flow Bridge'!F16</f>
        <v/>
      </c>
      <c r="G20" s="10">
        <f>G19-'Cash-Flow Bridge'!G16</f>
        <v/>
      </c>
      <c r="H20" s="10">
        <f>H19-'Cash-Flow Bridge'!H16</f>
        <v/>
      </c>
    </row>
    <row r="21">
      <c r="A21" s="7" t="inlineStr">
        <is>
          <t>Opening Excess Liquidity (STOCK, = MAX(0, beg. cash - buffer)) -- never labeled 'generated'</t>
        </is>
      </c>
      <c r="D21" s="10">
        <f>MAX(0,'Cash-Flow Bridge'!D22-D9)</f>
        <v/>
      </c>
      <c r="E21" s="10">
        <f>MAX(0,'Cash-Flow Bridge'!E22-E9)</f>
        <v/>
      </c>
      <c r="F21" s="10">
        <f>MAX(0,'Cash-Flow Bridge'!F22-F9)</f>
        <v/>
      </c>
      <c r="G21" s="10">
        <f>MAX(0,'Cash-Flow Bridge'!G22-G9)</f>
        <v/>
      </c>
      <c r="H21" s="10">
        <f>MAX(0,'Cash-Flow Bridge'!H22-H9)</f>
        <v/>
      </c>
    </row>
    <row r="22">
      <c r="A22" s="7" t="inlineStr">
        <is>
          <t xml:space="preserve">  Gross Debt Proceeds (supporting, transparent)</t>
        </is>
      </c>
      <c r="D22" s="10">
        <f>'Cash-Flow Bridge'!D19</f>
        <v/>
      </c>
      <c r="E22" s="10">
        <f>'Cash-Flow Bridge'!E19</f>
        <v/>
      </c>
      <c r="F22" s="10">
        <f>'Cash-Flow Bridge'!F19</f>
        <v/>
      </c>
      <c r="G22" s="10">
        <f>'Cash-Flow Bridge'!G19</f>
        <v/>
      </c>
      <c r="H22" s="10">
        <f>'Cash-Flow Bridge'!H19</f>
        <v/>
      </c>
    </row>
    <row r="23">
      <c r="A23" s="7" t="inlineStr">
        <is>
          <t xml:space="preserve">  Gross Debt Repayments (supporting, transparent)</t>
        </is>
      </c>
      <c r="D23" s="10">
        <f>'Cash-Flow Bridge'!D20</f>
        <v/>
      </c>
      <c r="E23" s="10">
        <f>'Cash-Flow Bridge'!E20</f>
        <v/>
      </c>
      <c r="F23" s="10">
        <f>'Cash-Flow Bridge'!F20</f>
        <v/>
      </c>
      <c r="G23" s="10">
        <f>'Cash-Flow Bridge'!G20</f>
        <v/>
      </c>
      <c r="H23" s="10">
        <f>'Cash-Flow Bridge'!H20</f>
        <v/>
      </c>
    </row>
    <row r="24">
      <c r="A24" s="7" t="inlineStr">
        <is>
          <t>Net Mandatory Debt Service (= MAX(0, gross repayments - gross proceeds))</t>
        </is>
      </c>
      <c r="D24" s="10">
        <f>MAX(0,D23-D22)</f>
        <v/>
      </c>
      <c r="E24" s="10">
        <f>MAX(0,E23-E22)</f>
        <v/>
      </c>
      <c r="F24" s="10">
        <f>MAX(0,F23-F22)</f>
        <v/>
      </c>
      <c r="G24" s="10">
        <f>MAX(0,G23-G22)</f>
        <v/>
      </c>
      <c r="H24" s="10">
        <f>MAX(0,H23-H22)</f>
        <v/>
      </c>
    </row>
    <row r="25">
      <c r="A25" s="2" t="inlineStr">
        <is>
          <t>C. Self-Funded Capacity Generated (FLOW, excludes opening liquidity)</t>
        </is>
      </c>
      <c r="D25" s="10">
        <f>D20-D24</f>
        <v/>
      </c>
      <c r="E25" s="10">
        <f>E20-E24</f>
        <v/>
      </c>
      <c r="F25" s="10">
        <f>F20-F24</f>
        <v/>
      </c>
      <c r="G25" s="10">
        <f>G20-G24</f>
        <v/>
      </c>
      <c r="H25" s="10">
        <f>H20-H24</f>
        <v/>
      </c>
    </row>
    <row r="26">
      <c r="A26" s="2" t="inlineStr">
        <is>
          <t>D. Debt-Funded Incremental Capacity (= MAX(0, proceeds - repayments); never gross issuance)</t>
        </is>
      </c>
      <c r="D26" s="10">
        <f>MAX(0,D22-D23)</f>
        <v/>
      </c>
      <c r="E26" s="10">
        <f>MAX(0,E22-E23)</f>
        <v/>
      </c>
      <c r="F26" s="10">
        <f>MAX(0,F22-F23)</f>
        <v/>
      </c>
      <c r="G26" s="10">
        <f>MAX(0,G22-G23)</f>
        <v/>
      </c>
      <c r="H26" s="10">
        <f>MAX(0,H22-H23)</f>
        <v/>
      </c>
    </row>
    <row r="27">
      <c r="A27" s="2" t="inlineStr">
        <is>
          <t>E. TOTAL GROSS FUNDING CAPACITY (Opening Liquidity + C + D)</t>
        </is>
      </c>
      <c r="D27" s="10">
        <f>D21+D25+D26</f>
        <v/>
      </c>
      <c r="E27" s="10">
        <f>E21+E25+E26</f>
        <v/>
      </c>
      <c r="F27" s="10">
        <f>F21+F25+F26</f>
        <v/>
      </c>
      <c r="G27" s="10">
        <f>G21+G25+G26</f>
        <v/>
      </c>
      <c r="H27" s="10">
        <f>H21+H25+H26</f>
        <v/>
      </c>
    </row>
    <row r="28">
      <c r="A28" s="7" t="inlineStr">
        <is>
          <t xml:space="preserve">  Share Repurchases</t>
        </is>
      </c>
      <c r="D28" s="10">
        <f>'Cash-Flow Bridge'!D18</f>
        <v/>
      </c>
      <c r="E28" s="10">
        <f>'Cash-Flow Bridge'!E18</f>
        <v/>
      </c>
      <c r="F28" s="10">
        <f>'Cash-Flow Bridge'!F18</f>
        <v/>
      </c>
      <c r="G28" s="10">
        <f>'Cash-Flow Bridge'!G18</f>
        <v/>
      </c>
      <c r="H28" s="10">
        <f>'Cash-Flow Bridge'!H18</f>
        <v/>
      </c>
    </row>
    <row r="29">
      <c r="A29" s="7" t="inlineStr">
        <is>
          <t xml:space="preserve">  Strategic Investment (none modeled this round)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</row>
    <row r="30">
      <c r="A30" s="7" t="inlineStr">
        <is>
          <t xml:space="preserve">  Voluntary Debt Reduction (none modeled this round)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</row>
    <row r="31">
      <c r="A31" s="7" t="inlineStr">
        <is>
          <t xml:space="preserve">  Other Discretionary Uses (none modeled this round)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</row>
    <row r="32">
      <c r="A32" s="2" t="inlineStr">
        <is>
          <t>F. TOTAL DISCRETIONARY DEPLOYMENT</t>
        </is>
      </c>
      <c r="D32" s="10">
        <f>D28+D29+D30+D31</f>
        <v/>
      </c>
      <c r="E32" s="10">
        <f>E28+E29+E30+E31</f>
        <v/>
      </c>
      <c r="F32" s="10">
        <f>F28+F29+F30+F31</f>
        <v/>
      </c>
      <c r="G32" s="10">
        <f>G28+G29+G30+G31</f>
        <v/>
      </c>
      <c r="H32" s="10">
        <f>H28+H29+H30+H31</f>
        <v/>
      </c>
    </row>
    <row r="33">
      <c r="A33" s="7" t="inlineStr">
        <is>
          <t>Forward Debt-Repayment Reserve (next year's net debt service; FY2030 is a documented FY2031 proxy)</t>
        </is>
      </c>
      <c r="D33" s="10">
        <f>E24</f>
        <v/>
      </c>
      <c r="E33" s="10">
        <f>F24</f>
        <v/>
      </c>
      <c r="F33" s="10">
        <f>G24</f>
        <v/>
      </c>
      <c r="G33" s="10">
        <f>H24</f>
        <v/>
      </c>
      <c r="H33" s="10">
        <f>H24</f>
        <v/>
      </c>
    </row>
    <row r="34">
      <c r="A34" s="2" t="inlineStr">
        <is>
          <t>G. REMAINING DEPLOYABLE HEADROOM (stock, = MAX(0, E - F - forward reserve))</t>
        </is>
      </c>
      <c r="D34" s="10">
        <f>MAX(0,D27-D32-D33)</f>
        <v/>
      </c>
      <c r="E34" s="10">
        <f>MAX(0,E27-E32-E33)</f>
        <v/>
      </c>
      <c r="F34" s="10">
        <f>MAX(0,F27-F32-F33)</f>
        <v/>
      </c>
      <c r="G34" s="10">
        <f>MAX(0,G27-G32-G33)</f>
        <v/>
      </c>
      <c r="H34" s="10">
        <f>MAX(0,H27-H32-H33)</f>
        <v/>
      </c>
    </row>
    <row r="35">
      <c r="A35" s="7" t="inlineStr">
        <is>
          <t>Ending Excess Liquidity (independent cross-check: = G + forward reserve)</t>
        </is>
      </c>
      <c r="D35" s="10">
        <f>MAX(0,'Cash-Flow Bridge'!D24-D9)</f>
        <v/>
      </c>
      <c r="E35" s="10">
        <f>MAX(0,'Cash-Flow Bridge'!E24-E9)</f>
        <v/>
      </c>
      <c r="F35" s="10">
        <f>MAX(0,'Cash-Flow Bridge'!F24-F9)</f>
        <v/>
      </c>
      <c r="G35" s="10">
        <f>MAX(0,'Cash-Flow Bridge'!G24-G9)</f>
        <v/>
      </c>
      <c r="H35" s="10">
        <f>MAX(0,'Cash-Flow Bridge'!H24-H9)</f>
        <v/>
      </c>
    </row>
    <row r="36">
      <c r="A36" s="8" t="inlineStr">
        <is>
          <t>DEPRECATED: Mandatory Debt Uses (v1, = gross repayments, double-subtracted -- see evidence doc)</t>
        </is>
      </c>
      <c r="D36" s="10">
        <f>D24</f>
        <v/>
      </c>
      <c r="E36" s="10">
        <f>E24</f>
        <v/>
      </c>
      <c r="F36" s="10">
        <f>F24</f>
        <v/>
      </c>
      <c r="G36" s="10">
        <f>G24</f>
        <v/>
      </c>
      <c r="H36" s="10">
        <f>H24</f>
        <v/>
      </c>
    </row>
    <row r="37">
      <c r="A37" s="8" t="inlineStr">
        <is>
          <t>DEPRECATED: Self-Funded Gross Capacity (v1-style, includes opening liquidity -- never labeled 'generated')</t>
        </is>
      </c>
      <c r="D37" s="10">
        <f>D21+D25</f>
        <v/>
      </c>
      <c r="E37" s="10">
        <f>E21+E25</f>
        <v/>
      </c>
      <c r="F37" s="10">
        <f>F21+F25</f>
        <v/>
      </c>
      <c r="G37" s="10">
        <f>G21+G25</f>
        <v/>
      </c>
      <c r="H37" s="10">
        <f>H21+H25</f>
        <v/>
      </c>
    </row>
    <row r="39" ht="20" customHeight="1">
      <c r="A39" s="30" t="inlineStr">
        <is>
          <t>Independent proof: Ending Excess Liquidity (from ending cash) equals Remaining Deployable Headroom PLUS the Forward Debt-Repayment Reserve, for every year -- confirming no dollar is counted in both headroom and deployment/reserve.</t>
        </is>
      </c>
    </row>
    <row r="41">
      <c r="A41" s="31" t="inlineStr">
        <is>
          <t>CUMULATIVE CAPACITY RECONCILIATION, FY2026-FY2030 (STATIC reference, all scenarios -- from target_cash.capacity_taxonomy; NEVER a sum of per-year ending balances)</t>
        </is>
      </c>
    </row>
    <row r="42">
      <c r="A42" s="9" t="inlineStr">
        <is>
          <t>Scenario</t>
        </is>
      </c>
      <c r="B42" s="9" t="inlineStr">
        <is>
          <t>A. Cumulative Self-Funded Generation</t>
        </is>
      </c>
      <c r="C42" s="9" t="inlineStr">
        <is>
          <t>B. Cumulative Debt-Funded Capacity</t>
        </is>
      </c>
      <c r="D42" s="9" t="inlineStr">
        <is>
          <t>C. Opening Excess Liquidity (horizon start)</t>
        </is>
      </c>
      <c r="E42" s="9" t="inlineStr">
        <is>
          <t>D. Cumulative Discretionary Deployment</t>
        </is>
      </c>
      <c r="F42" s="9" t="inlineStr">
        <is>
          <t>E. Terminal Remaining Headroom</t>
        </is>
      </c>
      <c r="G42" s="9" t="inlineStr">
        <is>
          <t>Ending Reserve Movement</t>
        </is>
      </c>
      <c r="H42" s="9" t="inlineStr">
        <is>
          <t>Terminal Forward Debt-Repayment Reserve (FY2031 proxy)</t>
        </is>
      </c>
      <c r="I42" s="9" t="inlineStr">
        <is>
          <t>Gross Horizon Funding, Before Reserve Adjustments (C+A+B) -- NOT net accessible capacity</t>
        </is>
      </c>
      <c r="J42" s="9" t="inlineStr">
        <is>
          <t>NET Horizon Deployable Capacity (Gross - Reserve Mvmt - Terminal Forward Reserve)</t>
        </is>
      </c>
      <c r="K42" s="9" t="inlineStr">
        <is>
          <t>Reconciles To (D+E)</t>
        </is>
      </c>
    </row>
    <row r="43">
      <c r="A43" s="22" t="inlineStr">
        <is>
          <t>Base</t>
        </is>
      </c>
      <c r="B43" s="10" t="n">
        <v>6990.8</v>
      </c>
      <c r="C43" s="10" t="n">
        <v>0</v>
      </c>
      <c r="D43" s="10" t="n">
        <v>2313.2</v>
      </c>
      <c r="E43" s="10" t="n">
        <v>2796.3</v>
      </c>
      <c r="F43" s="10" t="n">
        <v>6378.7</v>
      </c>
      <c r="G43" s="10" t="n">
        <v>128.9</v>
      </c>
      <c r="H43" s="10" t="n">
        <v>0</v>
      </c>
      <c r="I43" s="10" t="n">
        <v>9303.9</v>
      </c>
      <c r="J43" s="13" t="n">
        <v>9175</v>
      </c>
      <c r="K43" s="10" t="n">
        <v>9175</v>
      </c>
    </row>
    <row r="44">
      <c r="A44" s="22" t="inlineStr">
        <is>
          <t>Upside</t>
        </is>
      </c>
      <c r="B44" s="10" t="n">
        <v>6276.8</v>
      </c>
      <c r="C44" s="10" t="n">
        <v>0</v>
      </c>
      <c r="D44" s="10" t="n">
        <v>2250.3</v>
      </c>
      <c r="E44" s="10" t="n">
        <v>5377.2</v>
      </c>
      <c r="F44" s="10" t="n">
        <v>2043.5</v>
      </c>
      <c r="G44" s="10" t="n">
        <v>406.4</v>
      </c>
      <c r="H44" s="10" t="n">
        <v>700</v>
      </c>
      <c r="I44" s="10" t="n">
        <v>8527.1</v>
      </c>
      <c r="J44" s="13" t="n">
        <v>7420.7</v>
      </c>
      <c r="K44" s="10" t="n">
        <v>7420.7</v>
      </c>
    </row>
    <row r="45">
      <c r="A45" s="22" t="inlineStr">
        <is>
          <t>Downside</t>
        </is>
      </c>
      <c r="B45" s="10" t="n">
        <v>2669.2</v>
      </c>
      <c r="C45" s="10" t="n">
        <v>1000</v>
      </c>
      <c r="D45" s="10" t="n">
        <v>2423.2</v>
      </c>
      <c r="E45" s="10" t="n">
        <v>0</v>
      </c>
      <c r="F45" s="10" t="n">
        <v>6387.5</v>
      </c>
      <c r="G45" s="10" t="n">
        <v>-295.2</v>
      </c>
      <c r="H45" s="10" t="n">
        <v>0</v>
      </c>
      <c r="I45" s="10" t="n">
        <v>6092.3</v>
      </c>
      <c r="J45" s="13" t="n">
        <v>6387.5</v>
      </c>
      <c r="K45" s="10" t="n">
        <v>6387.5</v>
      </c>
    </row>
  </sheetData>
  <mergeCells count="5">
    <mergeCell ref="A39:H39"/>
    <mergeCell ref="A15:H15"/>
    <mergeCell ref="A41:H41"/>
    <mergeCell ref="A1:H1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H1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Capital Allocation Waterfall (LIVE, driven by Sheet 6 selector)</t>
        </is>
      </c>
    </row>
    <row r="2">
      <c r="A2" s="2" t="inlineStr">
        <is>
          <t>Selected scenario:</t>
        </is>
      </c>
      <c r="B2" s="27">
        <f>'Forecast Assumptions'!$C$2</f>
        <v/>
      </c>
    </row>
    <row r="3" ht="28" customHeight="1">
      <c r="A3" s="19" t="inlineStr">
        <is>
          <t>Order of operations: 1) Operating cash generation 2) CapEx 3) Dividends 4) Minimum cash preservation 5) Scheduled debt 6) Incremental financing (always $0) 7) Discretionary repurchases 8) Ending cash.</t>
        </is>
      </c>
    </row>
    <row r="5">
      <c r="A5" s="9" t="inlineStr">
        <is>
          <t>Waterfall Step</t>
        </is>
      </c>
      <c r="B5" s="9" t="n"/>
      <c r="C5" s="9" t="n"/>
      <c r="D5" s="9" t="inlineStr">
        <is>
          <t>FY2026</t>
        </is>
      </c>
      <c r="E5" s="9" t="inlineStr">
        <is>
          <t>FY2027</t>
        </is>
      </c>
      <c r="F5" s="9" t="inlineStr">
        <is>
          <t>FY2028</t>
        </is>
      </c>
      <c r="G5" s="9" t="inlineStr">
        <is>
          <t>FY2029</t>
        </is>
      </c>
      <c r="H5" s="9" t="inlineStr">
        <is>
          <t>FY2030</t>
        </is>
      </c>
    </row>
    <row r="6">
      <c r="A6" s="7" t="inlineStr">
        <is>
          <t>Beginning Cash</t>
        </is>
      </c>
      <c r="D6" s="10">
        <f>'Cash-Flow Bridge'!D22</f>
        <v/>
      </c>
      <c r="E6" s="10">
        <f>'Cash-Flow Bridge'!E22</f>
        <v/>
      </c>
      <c r="F6" s="10">
        <f>'Cash-Flow Bridge'!F22</f>
        <v/>
      </c>
      <c r="G6" s="10">
        <f>'Cash-Flow Bridge'!G22</f>
        <v/>
      </c>
      <c r="H6" s="10">
        <f>'Cash-Flow Bridge'!H22</f>
        <v/>
      </c>
    </row>
    <row r="7">
      <c r="A7" s="7" t="inlineStr">
        <is>
          <t>1. + Operating Cash Generation (CFO)</t>
        </is>
      </c>
      <c r="D7" s="10">
        <f>'Cash-Flow Bridge'!D11</f>
        <v/>
      </c>
      <c r="E7" s="10">
        <f>'Cash-Flow Bridge'!E11</f>
        <v/>
      </c>
      <c r="F7" s="10">
        <f>'Cash-Flow Bridge'!F11</f>
        <v/>
      </c>
      <c r="G7" s="10">
        <f>'Cash-Flow Bridge'!G11</f>
        <v/>
      </c>
      <c r="H7" s="10">
        <f>'Cash-Flow Bridge'!H11</f>
        <v/>
      </c>
    </row>
    <row r="8">
      <c r="A8" s="7" t="inlineStr">
        <is>
          <t>2. + Capital Expenditures (CFI)</t>
        </is>
      </c>
      <c r="D8" s="10">
        <f>'Cash-Flow Bridge'!D14</f>
        <v/>
      </c>
      <c r="E8" s="10">
        <f>'Cash-Flow Bridge'!E14</f>
        <v/>
      </c>
      <c r="F8" s="10">
        <f>'Cash-Flow Bridge'!F14</f>
        <v/>
      </c>
      <c r="G8" s="10">
        <f>'Cash-Flow Bridge'!G14</f>
        <v/>
      </c>
      <c r="H8" s="10">
        <f>'Cash-Flow Bridge'!H14</f>
        <v/>
      </c>
    </row>
    <row r="9">
      <c r="A9" s="7" t="inlineStr">
        <is>
          <t>3. - Dividends</t>
        </is>
      </c>
      <c r="D9" s="10">
        <f>-'Cash-Flow Bridge'!D16</f>
        <v/>
      </c>
      <c r="E9" s="10">
        <f>-'Cash-Flow Bridge'!E16</f>
        <v/>
      </c>
      <c r="F9" s="10">
        <f>-'Cash-Flow Bridge'!F16</f>
        <v/>
      </c>
      <c r="G9" s="10">
        <f>-'Cash-Flow Bridge'!G16</f>
        <v/>
      </c>
      <c r="H9" s="10">
        <f>-'Cash-Flow Bridge'!H16</f>
        <v/>
      </c>
    </row>
    <row r="10">
      <c r="A10" s="7" t="inlineStr">
        <is>
          <t>4. Checkpoint: Cash Above Min. Buffer (no movement)</t>
        </is>
      </c>
      <c r="D10" s="10">
        <f>(D6+D7+D8+D9)-'Investment Capacity'!D9</f>
        <v/>
      </c>
      <c r="E10" s="10">
        <f>(E6+E7+E8+E9)-'Investment Capacity'!E9</f>
        <v/>
      </c>
      <c r="F10" s="10">
        <f>(F6+F7+F8+F9)-'Investment Capacity'!F9</f>
        <v/>
      </c>
      <c r="G10" s="10">
        <f>(G6+G7+G8+G9)-'Investment Capacity'!G9</f>
        <v/>
      </c>
      <c r="H10" s="10">
        <f>(H6+H7+H8+H9)-'Investment Capacity'!H9</f>
        <v/>
      </c>
    </row>
    <row r="11">
      <c r="A11" s="7" t="inlineStr">
        <is>
          <t>5. +/- Scheduled Debt (proceeds - repayments)</t>
        </is>
      </c>
      <c r="D11" s="10">
        <f>'Cash-Flow Bridge'!D19-'Cash-Flow Bridge'!D20</f>
        <v/>
      </c>
      <c r="E11" s="10">
        <f>'Cash-Flow Bridge'!E19-'Cash-Flow Bridge'!E20</f>
        <v/>
      </c>
      <c r="F11" s="10">
        <f>'Cash-Flow Bridge'!F19-'Cash-Flow Bridge'!F20</f>
        <v/>
      </c>
      <c r="G11" s="10">
        <f>'Cash-Flow Bridge'!G19-'Cash-Flow Bridge'!G20</f>
        <v/>
      </c>
      <c r="H11" s="10">
        <f>'Cash-Flow Bridge'!H19-'Cash-Flow Bridge'!H20</f>
        <v/>
      </c>
    </row>
    <row r="12">
      <c r="A12" s="2" t="inlineStr">
        <is>
          <t>5b. Checkpoint: DEPLOYABLE CAPACITY</t>
        </is>
      </c>
      <c r="D12" s="10">
        <f>MAX(0,((D6+D7+D8+D9)+D11)-'Investment Capacity'!D9-'Investment Capacity'!D10)</f>
        <v/>
      </c>
      <c r="E12" s="10">
        <f>MAX(0,((E6+E7+E8+E9)+E11)-'Investment Capacity'!E9-'Investment Capacity'!E10)</f>
        <v/>
      </c>
      <c r="F12" s="10">
        <f>MAX(0,((F6+F7+F8+F9)+F11)-'Investment Capacity'!F9-'Investment Capacity'!F10)</f>
        <v/>
      </c>
      <c r="G12" s="10">
        <f>MAX(0,((G6+G7+G8+G9)+G11)-'Investment Capacity'!G9-'Investment Capacity'!G10)</f>
        <v/>
      </c>
      <c r="H12" s="10">
        <f>MAX(0,((H6+H7+H8+H9)+H11)-'Investment Capacity'!H9-'Investment Capacity'!H10)</f>
        <v/>
      </c>
    </row>
    <row r="13">
      <c r="A13" s="7" t="inlineStr">
        <is>
          <t>6. + Incremental Financing (always $0)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</row>
    <row r="14">
      <c r="A14" s="7" t="inlineStr">
        <is>
          <t>7. - Discretionary Repurchases</t>
        </is>
      </c>
      <c r="D14" s="10">
        <f>-'Cash-Flow Bridge'!D18</f>
        <v/>
      </c>
      <c r="E14" s="10">
        <f>-'Cash-Flow Bridge'!E18</f>
        <v/>
      </c>
      <c r="F14" s="10">
        <f>-'Cash-Flow Bridge'!F18</f>
        <v/>
      </c>
      <c r="G14" s="10">
        <f>-'Cash-Flow Bridge'!G18</f>
        <v/>
      </c>
      <c r="H14" s="10">
        <f>-'Cash-Flow Bridge'!H18</f>
        <v/>
      </c>
    </row>
    <row r="15">
      <c r="A15" s="7" t="inlineStr">
        <is>
          <t>7b. - Mgmt-Selected Deployment (always $0)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</row>
    <row r="16">
      <c r="A16" s="2" t="inlineStr">
        <is>
          <t>8. = Ending Cash</t>
        </is>
      </c>
      <c r="D16" s="10">
        <f>((D6+D7+D8+D9)+D11)+D13+D14+D15</f>
        <v/>
      </c>
      <c r="E16" s="10">
        <f>((E6+E7+E8+E9)+E11)+E13+E14+E15</f>
        <v/>
      </c>
      <c r="F16" s="10">
        <f>((F6+F7+F8+F9)+F11)+F13+F14+F15</f>
        <v/>
      </c>
      <c r="G16" s="10">
        <f>((G6+G7+G8+G9)+G11)+G13+G14+G15</f>
        <v/>
      </c>
      <c r="H16" s="10">
        <f>((H6+H7+H8+H9)+H11)+H13+H14+H15</f>
        <v/>
      </c>
    </row>
    <row r="18">
      <c r="A18" s="2" t="inlineStr">
        <is>
          <t>No-Double-Counting Proof</t>
        </is>
      </c>
    </row>
    <row r="19">
      <c r="A19" t="inlineStr">
        <is>
          <t>Ending Cash (Sheet 8) matches Step 8 above?</t>
        </is>
      </c>
      <c r="D19">
        <f>IF(ROUND('Cash-Flow Bridge'!D24-D16,2)=0,"OK","MISMATCH")</f>
        <v/>
      </c>
      <c r="E19">
        <f>IF(ROUND('Cash-Flow Bridge'!E24-E16,2)=0,"OK","MISMATCH")</f>
        <v/>
      </c>
      <c r="F19">
        <f>IF(ROUND('Cash-Flow Bridge'!F24-F16,2)=0,"OK","MISMATCH")</f>
        <v/>
      </c>
      <c r="G19">
        <f>IF(ROUND('Cash-Flow Bridge'!G24-G16,2)=0,"OK","MISMATCH")</f>
        <v/>
      </c>
      <c r="H19">
        <f>IF(ROUND('Cash-Flow Bridge'!H24-H16,2)=0,"OK","MISMATCH")</f>
        <v/>
      </c>
    </row>
  </sheetData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H45"/>
  <sheetViews>
    <sheetView showGridLines="0" workbookViewId="0">
      <pane xSplit="3" ySplit="19" topLeftCell="D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DCF Valuation -- Scenario-Based Model (NOT Investment Advice)</t>
        </is>
      </c>
    </row>
    <row r="2">
      <c r="A2" s="2" t="inlineStr">
        <is>
          <t>Selected scenario:</t>
        </is>
      </c>
      <c r="B2" s="27">
        <f>'Forecast Assumptions'!$C$2</f>
        <v/>
      </c>
    </row>
    <row r="3">
      <c r="A3" s="18" t="inlineStr">
        <is>
          <t>Illustrative WACC inputs below (yellow) -- no live market-data source is available to this project (SEC filings only); see Sheet 15 (Limitations).</t>
        </is>
      </c>
    </row>
    <row r="5">
      <c r="A5" s="2" t="inlineStr">
        <is>
          <t>WACC Components (scenario-invariant)</t>
        </is>
      </c>
    </row>
    <row r="6">
      <c r="A6" s="7" t="inlineStr">
        <is>
          <t>Risk-Free Rate</t>
        </is>
      </c>
      <c r="B6" s="25" t="n">
        <v>0.045</v>
      </c>
    </row>
    <row r="7">
      <c r="A7" s="7" t="inlineStr">
        <is>
          <t>Equity Risk Premium</t>
        </is>
      </c>
      <c r="B7" s="25" t="n">
        <v>0.055</v>
      </c>
    </row>
    <row r="8">
      <c r="A8" s="7" t="inlineStr">
        <is>
          <t>Beta</t>
        </is>
      </c>
      <c r="B8" s="32" t="n">
        <v>1</v>
      </c>
    </row>
    <row r="9">
      <c r="A9" s="7" t="inlineStr">
        <is>
          <t>Target Equity Weight</t>
        </is>
      </c>
      <c r="B9" s="25" t="n">
        <v>0.85</v>
      </c>
    </row>
    <row r="10">
      <c r="A10" s="7" t="inlineStr">
        <is>
          <t>Target Debt Weight</t>
        </is>
      </c>
      <c r="B10" s="25" t="n">
        <v>0.15</v>
      </c>
    </row>
    <row r="11">
      <c r="A11" s="7" t="inlineStr">
        <is>
          <t>Pre-Tax Cost of Debt</t>
        </is>
      </c>
      <c r="B11" s="25" t="n">
        <v>0.031</v>
      </c>
    </row>
    <row r="12">
      <c r="A12" s="7" t="inlineStr">
        <is>
          <t>Tax Rate (for WACC)</t>
        </is>
      </c>
      <c r="B12" s="25" t="n">
        <v>0.222</v>
      </c>
    </row>
    <row r="13">
      <c r="A13" s="7" t="inlineStr">
        <is>
          <t>Terminal Growth Rate</t>
        </is>
      </c>
      <c r="B13" s="25" t="n">
        <v>0.025</v>
      </c>
    </row>
    <row r="15">
      <c r="A15" s="2" t="inlineStr">
        <is>
          <t>Cost of Equity (CAPM)</t>
        </is>
      </c>
      <c r="B15" s="21">
        <f>B6+B8*B7</f>
        <v/>
      </c>
    </row>
    <row r="16">
      <c r="A16" s="2" t="inlineStr">
        <is>
          <t>After-Tax Cost of Debt</t>
        </is>
      </c>
      <c r="B16" s="21">
        <f>B11*(1-B12)</f>
        <v/>
      </c>
    </row>
    <row r="17">
      <c r="A17" s="2" t="inlineStr">
        <is>
          <t>WACC</t>
        </is>
      </c>
      <c r="B17" s="21">
        <f>B15*B9+B16*B10</f>
        <v/>
      </c>
    </row>
    <row r="19">
      <c r="A19" s="9" t="inlineStr">
        <is>
          <t>Unlevered Free Cash Flow</t>
        </is>
      </c>
      <c r="B19" s="9" t="n"/>
      <c r="C19" s="9" t="n"/>
      <c r="D19" s="9" t="inlineStr">
        <is>
          <t>FY2026</t>
        </is>
      </c>
      <c r="E19" s="9" t="inlineStr">
        <is>
          <t>FY2027</t>
        </is>
      </c>
      <c r="F19" s="9" t="inlineStr">
        <is>
          <t>FY2028</t>
        </is>
      </c>
      <c r="G19" s="9" t="inlineStr">
        <is>
          <t>FY2029</t>
        </is>
      </c>
      <c r="H19" s="9" t="inlineStr">
        <is>
          <t>FY2030</t>
        </is>
      </c>
    </row>
    <row r="20">
      <c r="A20" s="7" t="inlineStr">
        <is>
          <t>NOPAT (EBIT x (1-tax))</t>
        </is>
      </c>
      <c r="D20" s="10">
        <f>'Scenario Forecast'!D11*(1-(IF('Forecast Assumptions'!$C$2="Base",'Forecast Assumptions'!D9,IF('Forecast Assumptions'!$C$2="Upside",'Forecast Assumptions'!J9,'Forecast Assumptions'!P9))))</f>
        <v/>
      </c>
      <c r="E20" s="10">
        <f>'Scenario Forecast'!E11*(1-(IF('Forecast Assumptions'!$C$2="Base",'Forecast Assumptions'!E9,IF('Forecast Assumptions'!$C$2="Upside",'Forecast Assumptions'!K9,'Forecast Assumptions'!Q9))))</f>
        <v/>
      </c>
      <c r="F20" s="10">
        <f>'Scenario Forecast'!F11*(1-(IF('Forecast Assumptions'!$C$2="Base",'Forecast Assumptions'!F9,IF('Forecast Assumptions'!$C$2="Upside",'Forecast Assumptions'!L9,'Forecast Assumptions'!R9))))</f>
        <v/>
      </c>
      <c r="G20" s="10">
        <f>'Scenario Forecast'!G11*(1-(IF('Forecast Assumptions'!$C$2="Base",'Forecast Assumptions'!G9,IF('Forecast Assumptions'!$C$2="Upside",'Forecast Assumptions'!M9,'Forecast Assumptions'!S9))))</f>
        <v/>
      </c>
      <c r="H20" s="10">
        <f>'Scenario Forecast'!H11*(1-(IF('Forecast Assumptions'!$C$2="Base",'Forecast Assumptions'!H9,IF('Forecast Assumptions'!$C$2="Upside",'Forecast Assumptions'!N9,'Forecast Assumptions'!T9))))</f>
        <v/>
      </c>
    </row>
    <row r="21">
      <c r="A21" s="7" t="inlineStr">
        <is>
          <t>+ D&amp;A Add-back</t>
        </is>
      </c>
      <c r="D21" s="10">
        <f>'Cash-Flow Bridge'!D9</f>
        <v/>
      </c>
      <c r="E21" s="10">
        <f>'Cash-Flow Bridge'!E9</f>
        <v/>
      </c>
      <c r="F21" s="10">
        <f>'Cash-Flow Bridge'!F9</f>
        <v/>
      </c>
      <c r="G21" s="10">
        <f>'Cash-Flow Bridge'!G9</f>
        <v/>
      </c>
      <c r="H21" s="10">
        <f>'Cash-Flow Bridge'!H9</f>
        <v/>
      </c>
    </row>
    <row r="22">
      <c r="A22" s="7" t="inlineStr">
        <is>
          <t>+ Other Operating CF</t>
        </is>
      </c>
      <c r="D22" s="10">
        <f>'Cash-Flow Bridge'!D10</f>
        <v/>
      </c>
      <c r="E22" s="10">
        <f>'Cash-Flow Bridge'!E10</f>
        <v/>
      </c>
      <c r="F22" s="10">
        <f>'Cash-Flow Bridge'!F10</f>
        <v/>
      </c>
      <c r="G22" s="10">
        <f>'Cash-Flow Bridge'!G10</f>
        <v/>
      </c>
      <c r="H22" s="10">
        <f>'Cash-Flow Bridge'!H10</f>
        <v/>
      </c>
    </row>
    <row r="23">
      <c r="A23" s="7" t="inlineStr">
        <is>
          <t>- CapEx</t>
        </is>
      </c>
      <c r="D23" s="10">
        <f>-'Cash-Flow Bridge'!D12</f>
        <v/>
      </c>
      <c r="E23" s="10">
        <f>-'Cash-Flow Bridge'!E12</f>
        <v/>
      </c>
      <c r="F23" s="10">
        <f>-'Cash-Flow Bridge'!F12</f>
        <v/>
      </c>
      <c r="G23" s="10">
        <f>-'Cash-Flow Bridge'!G12</f>
        <v/>
      </c>
      <c r="H23" s="10">
        <f>-'Cash-Flow Bridge'!H12</f>
        <v/>
      </c>
    </row>
    <row r="24">
      <c r="A24" s="7" t="inlineStr">
        <is>
          <t>+/- Working Capital Cash Impact</t>
        </is>
      </c>
      <c r="D24" s="10">
        <f>'Cash-Flow Bridge'!D6+'Cash-Flow Bridge'!D8</f>
        <v/>
      </c>
      <c r="E24" s="10">
        <f>'Cash-Flow Bridge'!E6+'Cash-Flow Bridge'!E8</f>
        <v/>
      </c>
      <c r="F24" s="10">
        <f>'Cash-Flow Bridge'!F6+'Cash-Flow Bridge'!F8</f>
        <v/>
      </c>
      <c r="G24" s="10">
        <f>'Cash-Flow Bridge'!G6+'Cash-Flow Bridge'!G8</f>
        <v/>
      </c>
      <c r="H24" s="10">
        <f>'Cash-Flow Bridge'!H6+'Cash-Flow Bridge'!H8</f>
        <v/>
      </c>
    </row>
    <row r="25">
      <c r="A25" s="2" t="inlineStr">
        <is>
          <t>Unlevered FCF (Total)</t>
        </is>
      </c>
      <c r="D25" s="10">
        <f>D20+D21+D22+D23+D24</f>
        <v/>
      </c>
      <c r="E25" s="10">
        <f>E20+E21+E22+E23+E24</f>
        <v/>
      </c>
      <c r="F25" s="10">
        <f>F20+F21+F22+F23+F24</f>
        <v/>
      </c>
      <c r="G25" s="10">
        <f>G20+G21+G22+G23+G24</f>
        <v/>
      </c>
      <c r="H25" s="10">
        <f>H20+H21+H22+H23+H24</f>
        <v/>
      </c>
    </row>
    <row r="26">
      <c r="A26" s="7" t="inlineStr">
        <is>
          <t>Discount Factor</t>
        </is>
      </c>
      <c r="D26" s="33">
        <f>1/(1+$B$17)^1</f>
        <v/>
      </c>
      <c r="E26" s="33">
        <f>1/(1+$B$17)^2</f>
        <v/>
      </c>
      <c r="F26" s="33">
        <f>1/(1+$B$17)^3</f>
        <v/>
      </c>
      <c r="G26" s="33">
        <f>1/(1+$B$17)^4</f>
        <v/>
      </c>
      <c r="H26" s="33">
        <f>1/(1+$B$17)^5</f>
        <v/>
      </c>
    </row>
    <row r="27">
      <c r="A27" s="2" t="inlineStr">
        <is>
          <t>PV of UFCF</t>
        </is>
      </c>
      <c r="D27" s="10">
        <f>D25*D26</f>
        <v/>
      </c>
      <c r="E27" s="10">
        <f>E25*E26</f>
        <v/>
      </c>
      <c r="F27" s="10">
        <f>F25*F26</f>
        <v/>
      </c>
      <c r="G27" s="10">
        <f>G25*G26</f>
        <v/>
      </c>
      <c r="H27" s="10">
        <f>H25*H26</f>
        <v/>
      </c>
    </row>
    <row r="29">
      <c r="A29" s="2" t="inlineStr">
        <is>
          <t>Valuation Bridge</t>
        </is>
      </c>
    </row>
    <row r="30">
      <c r="A30" t="inlineStr">
        <is>
          <t>PV of Explicit-Period UFCF (FY2026-FY2030)</t>
        </is>
      </c>
      <c r="B30" s="10">
        <f>SUM(D27:H27)</f>
        <v/>
      </c>
    </row>
    <row r="31">
      <c r="A31" t="inlineStr">
        <is>
          <t>Terminal-Year UFCF (FY2030)</t>
        </is>
      </c>
      <c r="B31" s="10">
        <f>H25</f>
        <v/>
      </c>
    </row>
    <row r="32">
      <c r="A32" t="inlineStr">
        <is>
          <t>Terminal Value (undiscounted, Gordon Growth)</t>
        </is>
      </c>
      <c r="B32" s="10">
        <f>B31*(1+B13)/($B$17-B13)</f>
        <v/>
      </c>
    </row>
    <row r="33">
      <c r="A33" t="inlineStr">
        <is>
          <t>PV of Terminal Value</t>
        </is>
      </c>
      <c r="B33" s="10">
        <f>B32/(1+$B$17)^5</f>
        <v/>
      </c>
    </row>
    <row r="34">
      <c r="A34" s="2" t="inlineStr">
        <is>
          <t>Enterprise Value</t>
        </is>
      </c>
      <c r="B34" s="13">
        <f>B30+B33</f>
        <v/>
      </c>
    </row>
    <row r="35">
      <c r="A35" t="inlineStr">
        <is>
          <t>Net Debt (FY2025 actual: total_debt_gaap - cash)</t>
        </is>
      </c>
      <c r="B35" s="26" t="n">
        <v>8855</v>
      </c>
    </row>
    <row r="36">
      <c r="A36" s="2" t="inlineStr">
        <is>
          <t>Equity Value</t>
        </is>
      </c>
      <c r="B36" s="13">
        <f>B34-B35</f>
        <v/>
      </c>
    </row>
    <row r="37">
      <c r="A37" t="inlineStr">
        <is>
          <t>Diluted Shares (FY2025 actual, millions)</t>
        </is>
      </c>
      <c r="B37" s="26" t="n">
        <v>455.6</v>
      </c>
    </row>
    <row r="38">
      <c r="A38" s="34" t="inlineStr">
        <is>
          <t>IMPLIED VALUE PER SHARE</t>
        </is>
      </c>
      <c r="B38" s="35">
        <f>B36/B37</f>
        <v/>
      </c>
    </row>
    <row r="41">
      <c r="A41" s="2" t="inlineStr">
        <is>
          <t>All-Scenario DCF Comparison (STATIC reference -- from target_cash.valuation, same WACC/growth)</t>
        </is>
      </c>
    </row>
    <row r="42">
      <c r="A42" s="9" t="inlineStr">
        <is>
          <t>Scenario</t>
        </is>
      </c>
      <c r="B42" s="9" t="inlineStr">
        <is>
          <t>Enterprise Value</t>
        </is>
      </c>
      <c r="C42" s="9" t="inlineStr">
        <is>
          <t>Equity Value</t>
        </is>
      </c>
      <c r="D42" s="9" t="inlineStr">
        <is>
          <t>Implied Value/Share</t>
        </is>
      </c>
    </row>
    <row r="43">
      <c r="A43" s="22" t="inlineStr">
        <is>
          <t>Base</t>
        </is>
      </c>
      <c r="B43" s="10" t="n">
        <v>57736.3</v>
      </c>
      <c r="C43" s="10" t="n">
        <v>48881.3</v>
      </c>
      <c r="D43" s="11" t="n">
        <v>107.29</v>
      </c>
    </row>
    <row r="44">
      <c r="A44" s="22" t="inlineStr">
        <is>
          <t>Upside</t>
        </is>
      </c>
      <c r="B44" s="10" t="n">
        <v>71873.7</v>
      </c>
      <c r="C44" s="10" t="n">
        <v>63018.7</v>
      </c>
      <c r="D44" s="11" t="n">
        <v>138.32</v>
      </c>
    </row>
    <row r="45">
      <c r="A45" s="22" t="inlineStr">
        <is>
          <t>Downside</t>
        </is>
      </c>
      <c r="B45" s="10" t="n">
        <v>36898.6</v>
      </c>
      <c r="C45" s="10" t="n">
        <v>28043.6</v>
      </c>
      <c r="D45" s="11" t="n">
        <v>61.55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G7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Sensitivities (Static Dry-Run Output)</t>
        </is>
      </c>
    </row>
    <row r="3">
      <c r="A3" s="2" t="inlineStr">
        <is>
          <t>Driver: revenue_growth_pct (Base scenario, FY2030 impact)</t>
        </is>
      </c>
    </row>
    <row r="4">
      <c r="A4" s="9" t="inlineStr">
        <is>
          <t>Delta</t>
        </is>
      </c>
      <c r="B4" s="9" t="inlineStr">
        <is>
          <t>CFO</t>
        </is>
      </c>
      <c r="C4" s="9" t="inlineStr">
        <is>
          <t>FCF</t>
        </is>
      </c>
      <c r="D4" s="9" t="inlineStr">
        <is>
          <t>Ending Cash</t>
        </is>
      </c>
      <c r="E4" s="9" t="inlineStr">
        <is>
          <t>Legacy Gross Capacity (DEPRECATED)</t>
        </is>
      </c>
      <c r="F4" s="9" t="inlineStr">
        <is>
          <t>Legacy Cumulative (DEPRECATED)</t>
        </is>
      </c>
    </row>
    <row r="5">
      <c r="A5" s="22" t="n">
        <v>-1</v>
      </c>
      <c r="B5" s="10" t="n">
        <v>7380.6</v>
      </c>
      <c r="C5" s="10" t="n">
        <v>3608.6</v>
      </c>
      <c r="D5" s="10" t="n">
        <v>9344.6</v>
      </c>
      <c r="E5" s="10" t="n">
        <v>6060.4</v>
      </c>
      <c r="F5" s="10" t="n">
        <v>6060.4</v>
      </c>
    </row>
    <row r="6">
      <c r="A6" s="22" t="n">
        <v>-0.5</v>
      </c>
      <c r="B6" s="10" t="n">
        <v>7571.3</v>
      </c>
      <c r="C6" s="10" t="n">
        <v>3704</v>
      </c>
      <c r="D6" s="10" t="n">
        <v>9512.4</v>
      </c>
      <c r="E6" s="10" t="n">
        <v>6186.9</v>
      </c>
      <c r="F6" s="10" t="n">
        <v>6186.9</v>
      </c>
    </row>
    <row r="7">
      <c r="A7" s="22" t="n">
        <v>0</v>
      </c>
      <c r="B7" s="10" t="n">
        <v>7765.8</v>
      </c>
      <c r="C7" s="10" t="n">
        <v>3801.3</v>
      </c>
      <c r="D7" s="10" t="n">
        <v>9682.5</v>
      </c>
      <c r="E7" s="10" t="n">
        <v>6315</v>
      </c>
      <c r="F7" s="10" t="n">
        <v>6315</v>
      </c>
    </row>
    <row r="8">
      <c r="A8" s="22" t="n">
        <v>0.5</v>
      </c>
      <c r="B8" s="10" t="n">
        <v>7964.3</v>
      </c>
      <c r="C8" s="10" t="n">
        <v>3900.7</v>
      </c>
      <c r="D8" s="10" t="n">
        <v>9854.9</v>
      </c>
      <c r="E8" s="10" t="n">
        <v>6444.6</v>
      </c>
      <c r="F8" s="10" t="n">
        <v>6444.6</v>
      </c>
    </row>
    <row r="9">
      <c r="A9" s="22" t="n">
        <v>1</v>
      </c>
      <c r="B9" s="10" t="n">
        <v>8166.7</v>
      </c>
      <c r="C9" s="10" t="n">
        <v>4002</v>
      </c>
      <c r="D9" s="10" t="n">
        <v>10029.7</v>
      </c>
      <c r="E9" s="10" t="n">
        <v>6575.7</v>
      </c>
      <c r="F9" s="10" t="n">
        <v>6575.7</v>
      </c>
    </row>
    <row r="11">
      <c r="A11" s="2" t="inlineStr">
        <is>
          <t>Driver: gross_margin_pct (Base scenario, FY2030 impact)</t>
        </is>
      </c>
    </row>
    <row r="12">
      <c r="A12" s="9" t="inlineStr">
        <is>
          <t>Delta</t>
        </is>
      </c>
      <c r="B12" s="9" t="inlineStr">
        <is>
          <t>CFO</t>
        </is>
      </c>
      <c r="C12" s="9" t="inlineStr">
        <is>
          <t>FCF</t>
        </is>
      </c>
      <c r="D12" s="9" t="inlineStr">
        <is>
          <t>Ending Cash</t>
        </is>
      </c>
      <c r="E12" s="9" t="inlineStr">
        <is>
          <t>Legacy Gross Capacity (DEPRECATED)</t>
        </is>
      </c>
      <c r="F12" s="9" t="inlineStr">
        <is>
          <t>Legacy Cumulative (DEPRECATED)</t>
        </is>
      </c>
    </row>
    <row r="13">
      <c r="A13" s="22" t="n">
        <v>-0.5</v>
      </c>
      <c r="B13" s="10" t="n">
        <v>7338.4</v>
      </c>
      <c r="C13" s="10" t="n">
        <v>3373.9</v>
      </c>
      <c r="D13" s="10" t="n">
        <v>8477.700000000001</v>
      </c>
      <c r="E13" s="10" t="n">
        <v>4939.2</v>
      </c>
      <c r="F13" s="10" t="n">
        <v>4939.2</v>
      </c>
    </row>
    <row r="14">
      <c r="A14" s="22" t="n">
        <v>-0.25</v>
      </c>
      <c r="B14" s="10" t="n">
        <v>7552.1</v>
      </c>
      <c r="C14" s="10" t="n">
        <v>3587.6</v>
      </c>
      <c r="D14" s="10" t="n">
        <v>9080.1</v>
      </c>
      <c r="E14" s="10" t="n">
        <v>5627.1</v>
      </c>
      <c r="F14" s="10" t="n">
        <v>5627.1</v>
      </c>
    </row>
    <row r="15">
      <c r="A15" s="22" t="n">
        <v>0</v>
      </c>
      <c r="B15" s="10" t="n">
        <v>7765.8</v>
      </c>
      <c r="C15" s="10" t="n">
        <v>3801.3</v>
      </c>
      <c r="D15" s="10" t="n">
        <v>9682.5</v>
      </c>
      <c r="E15" s="10" t="n">
        <v>6315</v>
      </c>
      <c r="F15" s="10" t="n">
        <v>6315</v>
      </c>
    </row>
    <row r="16">
      <c r="A16" s="22" t="n">
        <v>0.25</v>
      </c>
      <c r="B16" s="10" t="n">
        <v>7979.6</v>
      </c>
      <c r="C16" s="10" t="n">
        <v>4015.1</v>
      </c>
      <c r="D16" s="10" t="n">
        <v>10284.9</v>
      </c>
      <c r="E16" s="10" t="n">
        <v>7002.9</v>
      </c>
      <c r="F16" s="10" t="n">
        <v>7002.9</v>
      </c>
    </row>
    <row r="17">
      <c r="A17" s="22" t="n">
        <v>0.5</v>
      </c>
      <c r="B17" s="10" t="n">
        <v>8193.299999999999</v>
      </c>
      <c r="C17" s="10" t="n">
        <v>4228.8</v>
      </c>
      <c r="D17" s="10" t="n">
        <v>10887.2</v>
      </c>
      <c r="E17" s="10" t="n">
        <v>7690.8</v>
      </c>
      <c r="F17" s="10" t="n">
        <v>7690.8</v>
      </c>
    </row>
    <row r="19">
      <c r="A19" s="2" t="inlineStr">
        <is>
          <t>Driver: sga_pct_of_revenue (Base scenario, FY2030 impact)</t>
        </is>
      </c>
    </row>
    <row r="20">
      <c r="A20" s="9" t="inlineStr">
        <is>
          <t>Delta</t>
        </is>
      </c>
      <c r="B20" s="9" t="inlineStr">
        <is>
          <t>CFO</t>
        </is>
      </c>
      <c r="C20" s="9" t="inlineStr">
        <is>
          <t>FCF</t>
        </is>
      </c>
      <c r="D20" s="9" t="inlineStr">
        <is>
          <t>Ending Cash</t>
        </is>
      </c>
      <c r="E20" s="9" t="inlineStr">
        <is>
          <t>Legacy Gross Capacity (DEPRECATED)</t>
        </is>
      </c>
      <c r="F20" s="9" t="inlineStr">
        <is>
          <t>Legacy Cumulative (DEPRECATED)</t>
        </is>
      </c>
    </row>
    <row r="21">
      <c r="A21" s="22" t="n">
        <v>-0.5</v>
      </c>
      <c r="B21" s="10" t="n">
        <v>8194.200000000001</v>
      </c>
      <c r="C21" s="10" t="n">
        <v>4229.7</v>
      </c>
      <c r="D21" s="10" t="n">
        <v>10942.4</v>
      </c>
      <c r="E21" s="10" t="n">
        <v>7746.3</v>
      </c>
      <c r="F21" s="10" t="n">
        <v>7746.3</v>
      </c>
    </row>
    <row r="22">
      <c r="A22" s="22" t="n">
        <v>-0.25</v>
      </c>
      <c r="B22" s="10" t="n">
        <v>7980</v>
      </c>
      <c r="C22" s="10" t="n">
        <v>4015.5</v>
      </c>
      <c r="D22" s="10" t="n">
        <v>10312.4</v>
      </c>
      <c r="E22" s="10" t="n">
        <v>7030.7</v>
      </c>
      <c r="F22" s="10" t="n">
        <v>7030.7</v>
      </c>
    </row>
    <row r="23">
      <c r="A23" s="22" t="n">
        <v>0</v>
      </c>
      <c r="B23" s="10" t="n">
        <v>7765.8</v>
      </c>
      <c r="C23" s="10" t="n">
        <v>3801.3</v>
      </c>
      <c r="D23" s="10" t="n">
        <v>9682.5</v>
      </c>
      <c r="E23" s="10" t="n">
        <v>6315</v>
      </c>
      <c r="F23" s="10" t="n">
        <v>6315</v>
      </c>
    </row>
    <row r="24">
      <c r="A24" s="22" t="n">
        <v>0.25</v>
      </c>
      <c r="B24" s="10" t="n">
        <v>7551.6</v>
      </c>
      <c r="C24" s="10" t="n">
        <v>3587.1</v>
      </c>
      <c r="D24" s="10" t="n">
        <v>9052.5</v>
      </c>
      <c r="E24" s="10" t="n">
        <v>5599.4</v>
      </c>
      <c r="F24" s="10" t="n">
        <v>5599.4</v>
      </c>
    </row>
    <row r="25">
      <c r="A25" s="22" t="n">
        <v>0.5</v>
      </c>
      <c r="B25" s="10" t="n">
        <v>7337.4</v>
      </c>
      <c r="C25" s="10" t="n">
        <v>3373</v>
      </c>
      <c r="D25" s="10" t="n">
        <v>8422.5</v>
      </c>
      <c r="E25" s="10" t="n">
        <v>4883.7</v>
      </c>
      <c r="F25" s="10" t="n">
        <v>4883.7</v>
      </c>
    </row>
    <row r="27">
      <c r="A27" s="2" t="inlineStr">
        <is>
          <t>Driver: capex_pct_of_revenue (Base scenario, FY2030 impact)</t>
        </is>
      </c>
    </row>
    <row r="28">
      <c r="A28" s="9" t="inlineStr">
        <is>
          <t>Delta</t>
        </is>
      </c>
      <c r="B28" s="9" t="inlineStr">
        <is>
          <t>CFO</t>
        </is>
      </c>
      <c r="C28" s="9" t="inlineStr">
        <is>
          <t>FCF</t>
        </is>
      </c>
      <c r="D28" s="9" t="inlineStr">
        <is>
          <t>Ending Cash</t>
        </is>
      </c>
      <c r="E28" s="9" t="inlineStr">
        <is>
          <t>Legacy Gross Capacity (DEPRECATED)</t>
        </is>
      </c>
      <c r="F28" s="9" t="inlineStr">
        <is>
          <t>Legacy Cumulative (DEPRECATED)</t>
        </is>
      </c>
    </row>
    <row r="29">
      <c r="A29" s="22" t="n">
        <v>-0.5</v>
      </c>
      <c r="B29" s="10" t="n">
        <v>7765.8</v>
      </c>
      <c r="C29" s="10" t="n">
        <v>4352</v>
      </c>
      <c r="D29" s="10" t="n">
        <v>11301.9</v>
      </c>
      <c r="E29" s="10" t="n">
        <v>8154.8</v>
      </c>
      <c r="F29" s="10" t="n">
        <v>8154.8</v>
      </c>
    </row>
    <row r="30">
      <c r="A30" s="22" t="n">
        <v>-0.25</v>
      </c>
      <c r="B30" s="10" t="n">
        <v>7765.8</v>
      </c>
      <c r="C30" s="10" t="n">
        <v>4076.7</v>
      </c>
      <c r="D30" s="10" t="n">
        <v>10492.2</v>
      </c>
      <c r="E30" s="10" t="n">
        <v>7234.9</v>
      </c>
      <c r="F30" s="10" t="n">
        <v>7234.9</v>
      </c>
    </row>
    <row r="31">
      <c r="A31" s="22" t="n">
        <v>0</v>
      </c>
      <c r="B31" s="10" t="n">
        <v>7765.8</v>
      </c>
      <c r="C31" s="10" t="n">
        <v>3801.3</v>
      </c>
      <c r="D31" s="10" t="n">
        <v>9682.5</v>
      </c>
      <c r="E31" s="10" t="n">
        <v>6315</v>
      </c>
      <c r="F31" s="10" t="n">
        <v>6315</v>
      </c>
    </row>
    <row r="32">
      <c r="A32" s="22" t="n">
        <v>0.25</v>
      </c>
      <c r="B32" s="10" t="n">
        <v>7765.8</v>
      </c>
      <c r="C32" s="10" t="n">
        <v>3526</v>
      </c>
      <c r="D32" s="10" t="n">
        <v>8872.700000000001</v>
      </c>
      <c r="E32" s="10" t="n">
        <v>5395.2</v>
      </c>
      <c r="F32" s="10" t="n">
        <v>5395.2</v>
      </c>
    </row>
    <row r="33">
      <c r="A33" s="22" t="n">
        <v>0.5</v>
      </c>
      <c r="B33" s="10" t="n">
        <v>7765.8</v>
      </c>
      <c r="C33" s="10" t="n">
        <v>3250.7</v>
      </c>
      <c r="D33" s="10" t="n">
        <v>8063</v>
      </c>
      <c r="E33" s="10" t="n">
        <v>4475.3</v>
      </c>
      <c r="F33" s="10" t="n">
        <v>4475.3</v>
      </c>
    </row>
    <row r="35">
      <c r="A35" s="2" t="inlineStr">
        <is>
          <t>Driver: inventory_pct_of_revenue (Base scenario, FY2030 impact)</t>
        </is>
      </c>
    </row>
    <row r="36">
      <c r="A36" s="9" t="inlineStr">
        <is>
          <t>Delta</t>
        </is>
      </c>
      <c r="B36" s="9" t="inlineStr">
        <is>
          <t>CFO</t>
        </is>
      </c>
      <c r="C36" s="9" t="inlineStr">
        <is>
          <t>FCF</t>
        </is>
      </c>
      <c r="D36" s="9" t="inlineStr">
        <is>
          <t>Ending Cash</t>
        </is>
      </c>
      <c r="E36" s="9" t="inlineStr">
        <is>
          <t>Legacy Gross Capacity (DEPRECATED)</t>
        </is>
      </c>
      <c r="F36" s="9" t="inlineStr">
        <is>
          <t>Legacy Cumulative (DEPRECATED)</t>
        </is>
      </c>
    </row>
    <row r="37">
      <c r="A37" s="22" t="n">
        <v>-1</v>
      </c>
      <c r="B37" s="10" t="n">
        <v>7776.7</v>
      </c>
      <c r="C37" s="10" t="n">
        <v>3812.2</v>
      </c>
      <c r="D37" s="10" t="n">
        <v>10343.2</v>
      </c>
      <c r="E37" s="10" t="n">
        <v>6980.1</v>
      </c>
      <c r="F37" s="10" t="n">
        <v>6980.1</v>
      </c>
    </row>
    <row r="38">
      <c r="A38" s="22" t="n">
        <v>-0.5</v>
      </c>
      <c r="B38" s="10" t="n">
        <v>7771.3</v>
      </c>
      <c r="C38" s="10" t="n">
        <v>3806.8</v>
      </c>
      <c r="D38" s="10" t="n">
        <v>10012.8</v>
      </c>
      <c r="E38" s="10" t="n">
        <v>6647.6</v>
      </c>
      <c r="F38" s="10" t="n">
        <v>6647.6</v>
      </c>
    </row>
    <row r="39">
      <c r="A39" s="22" t="n">
        <v>0</v>
      </c>
      <c r="B39" s="10" t="n">
        <v>7765.8</v>
      </c>
      <c r="C39" s="10" t="n">
        <v>3801.3</v>
      </c>
      <c r="D39" s="10" t="n">
        <v>9682.5</v>
      </c>
      <c r="E39" s="10" t="n">
        <v>6315</v>
      </c>
      <c r="F39" s="10" t="n">
        <v>6315</v>
      </c>
    </row>
    <row r="40">
      <c r="A40" s="22" t="n">
        <v>0.5</v>
      </c>
      <c r="B40" s="10" t="n">
        <v>7760.4</v>
      </c>
      <c r="C40" s="10" t="n">
        <v>3795.9</v>
      </c>
      <c r="D40" s="10" t="n">
        <v>9352.1</v>
      </c>
      <c r="E40" s="10" t="n">
        <v>5982.5</v>
      </c>
      <c r="F40" s="10" t="n">
        <v>5982.5</v>
      </c>
    </row>
    <row r="41">
      <c r="A41" s="22" t="n">
        <v>1</v>
      </c>
      <c r="B41" s="10" t="n">
        <v>7754.9</v>
      </c>
      <c r="C41" s="10" t="n">
        <v>3790.4</v>
      </c>
      <c r="D41" s="10" t="n">
        <v>9021.700000000001</v>
      </c>
      <c r="E41" s="10" t="n">
        <v>5649.9</v>
      </c>
      <c r="F41" s="10" t="n">
        <v>5649.9</v>
      </c>
    </row>
    <row r="43">
      <c r="A43" s="2" t="inlineStr">
        <is>
          <t>Driver: min_cash_buffer_pct_of_revenue (Base scenario, FY2030 impact)</t>
        </is>
      </c>
    </row>
    <row r="44">
      <c r="A44" s="9" t="inlineStr">
        <is>
          <t>Delta</t>
        </is>
      </c>
      <c r="B44" s="9" t="inlineStr">
        <is>
          <t>CFO</t>
        </is>
      </c>
      <c r="C44" s="9" t="inlineStr">
        <is>
          <t>FCF</t>
        </is>
      </c>
      <c r="D44" s="9" t="inlineStr">
        <is>
          <t>Ending Cash</t>
        </is>
      </c>
      <c r="E44" s="9" t="inlineStr">
        <is>
          <t>Legacy Gross Capacity (DEPRECATED)</t>
        </is>
      </c>
      <c r="F44" s="9" t="inlineStr">
        <is>
          <t>Legacy Cumulative (DEPRECATED)</t>
        </is>
      </c>
    </row>
    <row r="45">
      <c r="A45" s="22" t="n">
        <v>-1</v>
      </c>
      <c r="B45" s="10" t="n">
        <v>7765.8</v>
      </c>
      <c r="C45" s="10" t="n">
        <v>3801.3</v>
      </c>
      <c r="D45" s="10" t="n">
        <v>9682.5</v>
      </c>
      <c r="E45" s="10" t="n">
        <v>7416.3</v>
      </c>
      <c r="F45" s="10" t="n">
        <v>7416.3</v>
      </c>
    </row>
    <row r="46">
      <c r="A46" s="22" t="n">
        <v>-0.5</v>
      </c>
      <c r="B46" s="10" t="n">
        <v>7765.8</v>
      </c>
      <c r="C46" s="10" t="n">
        <v>3801.3</v>
      </c>
      <c r="D46" s="10" t="n">
        <v>9682.5</v>
      </c>
      <c r="E46" s="10" t="n">
        <v>6865.6</v>
      </c>
      <c r="F46" s="10" t="n">
        <v>6865.6</v>
      </c>
    </row>
    <row r="47">
      <c r="A47" s="22" t="n">
        <v>0</v>
      </c>
      <c r="B47" s="10" t="n">
        <v>7765.8</v>
      </c>
      <c r="C47" s="10" t="n">
        <v>3801.3</v>
      </c>
      <c r="D47" s="10" t="n">
        <v>9682.5</v>
      </c>
      <c r="E47" s="10" t="n">
        <v>6315</v>
      </c>
      <c r="F47" s="10" t="n">
        <v>6315</v>
      </c>
    </row>
    <row r="48">
      <c r="A48" s="22" t="n">
        <v>0.5</v>
      </c>
      <c r="B48" s="10" t="n">
        <v>7765.8</v>
      </c>
      <c r="C48" s="10" t="n">
        <v>3801.3</v>
      </c>
      <c r="D48" s="10" t="n">
        <v>9682.5</v>
      </c>
      <c r="E48" s="10" t="n">
        <v>5764.4</v>
      </c>
      <c r="F48" s="10" t="n">
        <v>5764.4</v>
      </c>
    </row>
    <row r="49">
      <c r="A49" s="22" t="n">
        <v>1</v>
      </c>
      <c r="B49" s="10" t="n">
        <v>7765.8</v>
      </c>
      <c r="C49" s="10" t="n">
        <v>3801.3</v>
      </c>
      <c r="D49" s="10" t="n">
        <v>9682.5</v>
      </c>
      <c r="E49" s="10" t="n">
        <v>5213.8</v>
      </c>
      <c r="F49" s="10" t="n">
        <v>5213.8</v>
      </c>
    </row>
    <row r="51">
      <c r="A51" s="2" t="inlineStr">
        <is>
          <t>Two-Variable: Revenue Growth x Gross Margin (FY2030 Legacy Gross Capacity, DEPRECATED)</t>
        </is>
      </c>
    </row>
    <row r="52">
      <c r="A52" s="9" t="inlineStr">
        <is>
          <t>Growth\Margin</t>
        </is>
      </c>
      <c r="B52" s="9" t="n">
        <v>-0.5</v>
      </c>
      <c r="C52" s="9" t="n">
        <v>-0.25</v>
      </c>
      <c r="D52" s="9" t="n">
        <v>0</v>
      </c>
      <c r="E52" s="9" t="n">
        <v>0.25</v>
      </c>
      <c r="F52" s="9" t="n">
        <v>0.5</v>
      </c>
    </row>
    <row r="53">
      <c r="A53" t="n">
        <v>-1</v>
      </c>
      <c r="B53" s="10" t="n">
        <v>4727</v>
      </c>
      <c r="C53" s="10" t="n">
        <v>5393.7</v>
      </c>
      <c r="D53" s="10" t="n">
        <v>6060.4</v>
      </c>
      <c r="E53" s="10" t="n">
        <v>6727</v>
      </c>
      <c r="F53" s="10" t="n">
        <v>7393.7</v>
      </c>
    </row>
    <row r="54">
      <c r="A54" t="n">
        <v>-0.5</v>
      </c>
      <c r="B54" s="10" t="n">
        <v>4832.5</v>
      </c>
      <c r="C54" s="10" t="n">
        <v>5509.7</v>
      </c>
      <c r="D54" s="10" t="n">
        <v>6186.9</v>
      </c>
      <c r="E54" s="10" t="n">
        <v>6864.1</v>
      </c>
      <c r="F54" s="10" t="n">
        <v>7541.3</v>
      </c>
    </row>
    <row r="55">
      <c r="A55" t="n">
        <v>0</v>
      </c>
      <c r="B55" s="10" t="n">
        <v>4939.2</v>
      </c>
      <c r="C55" s="10" t="n">
        <v>5627.1</v>
      </c>
      <c r="D55" s="10" t="n">
        <v>6315</v>
      </c>
      <c r="E55" s="10" t="n">
        <v>7002.9</v>
      </c>
      <c r="F55" s="10" t="n">
        <v>7690.8</v>
      </c>
    </row>
    <row r="56">
      <c r="A56" t="n">
        <v>0.5</v>
      </c>
      <c r="B56" s="10" t="n">
        <v>5047.1</v>
      </c>
      <c r="C56" s="10" t="n">
        <v>5745.9</v>
      </c>
      <c r="D56" s="10" t="n">
        <v>6444.6</v>
      </c>
      <c r="E56" s="10" t="n">
        <v>7143.3</v>
      </c>
      <c r="F56" s="10" t="n">
        <v>7842</v>
      </c>
    </row>
    <row r="57">
      <c r="A57" t="n">
        <v>1</v>
      </c>
      <c r="B57" s="10" t="n">
        <v>5156.2</v>
      </c>
      <c r="C57" s="10" t="n">
        <v>5866</v>
      </c>
      <c r="D57" s="10" t="n">
        <v>6575.7</v>
      </c>
      <c r="E57" s="10" t="n">
        <v>7285.4</v>
      </c>
      <c r="F57" s="10" t="n">
        <v>7995.1</v>
      </c>
    </row>
    <row r="60">
      <c r="A60" s="2" t="inlineStr">
        <is>
          <t>DCF: WACC x Terminal Growth (Implied Value/Share)</t>
        </is>
      </c>
    </row>
    <row r="61">
      <c r="A61" s="9" t="inlineStr">
        <is>
          <t>WACC\Growth</t>
        </is>
      </c>
      <c r="B61" s="9" t="n">
        <v>-1</v>
      </c>
      <c r="C61" s="9" t="n">
        <v>-0.5</v>
      </c>
      <c r="D61" s="9" t="n">
        <v>0</v>
      </c>
      <c r="E61" s="9" t="n">
        <v>0.5</v>
      </c>
      <c r="F61" s="9" t="n">
        <v>1</v>
      </c>
    </row>
    <row r="62">
      <c r="A62" t="n">
        <v>7.86</v>
      </c>
      <c r="B62" s="11" t="n">
        <v>111.66</v>
      </c>
      <c r="C62" s="11" t="n">
        <v>120.52</v>
      </c>
      <c r="D62" s="11" t="n">
        <v>131.03</v>
      </c>
      <c r="E62" s="11" t="n">
        <v>143.7</v>
      </c>
      <c r="F62" s="11" t="n">
        <v>159.27</v>
      </c>
    </row>
    <row r="63">
      <c r="A63" t="n">
        <v>8.359999999999999</v>
      </c>
      <c r="B63" s="11" t="n">
        <v>102.02</v>
      </c>
      <c r="C63" s="11" t="n">
        <v>109.45</v>
      </c>
      <c r="D63" s="11" t="n">
        <v>118.15</v>
      </c>
      <c r="E63" s="11" t="n">
        <v>128.46</v>
      </c>
      <c r="F63" s="11" t="n">
        <v>140.9</v>
      </c>
    </row>
    <row r="64">
      <c r="A64" t="n">
        <v>8.859999999999999</v>
      </c>
      <c r="B64" s="11" t="n">
        <v>93.7</v>
      </c>
      <c r="C64" s="11" t="n">
        <v>100</v>
      </c>
      <c r="D64" s="11" t="n">
        <v>107.29</v>
      </c>
      <c r="E64" s="11" t="n">
        <v>115.83</v>
      </c>
      <c r="F64" s="11" t="n">
        <v>125.95</v>
      </c>
    </row>
    <row r="65">
      <c r="A65" t="n">
        <v>9.359999999999999</v>
      </c>
      <c r="B65" s="11" t="n">
        <v>86.43000000000001</v>
      </c>
      <c r="C65" s="11" t="n">
        <v>91.83</v>
      </c>
      <c r="D65" s="11" t="n">
        <v>98.02</v>
      </c>
      <c r="E65" s="11" t="n">
        <v>105.18</v>
      </c>
      <c r="F65" s="11" t="n">
        <v>113.56</v>
      </c>
    </row>
    <row r="66">
      <c r="A66" t="n">
        <v>9.859999999999999</v>
      </c>
      <c r="B66" s="11" t="n">
        <v>80.03</v>
      </c>
      <c r="C66" s="11" t="n">
        <v>84.7</v>
      </c>
      <c r="D66" s="11" t="n">
        <v>90</v>
      </c>
      <c r="E66" s="11" t="n">
        <v>96.08</v>
      </c>
      <c r="F66" s="11" t="n">
        <v>103.11</v>
      </c>
    </row>
    <row r="69">
      <c r="A69" s="2" t="inlineStr">
        <is>
          <t>DCF: Gross Margin x Revenue Growth (Implied Value/Share)</t>
        </is>
      </c>
    </row>
    <row r="70">
      <c r="A70" s="9" t="inlineStr">
        <is>
          <t>Margin\Growth</t>
        </is>
      </c>
      <c r="B70" s="9" t="n">
        <v>-1</v>
      </c>
      <c r="C70" s="9" t="n">
        <v>0</v>
      </c>
      <c r="D70" s="9" t="n">
        <v>1</v>
      </c>
    </row>
    <row r="71">
      <c r="A71" t="n">
        <v>-0.5</v>
      </c>
      <c r="B71" s="11" t="n">
        <v>89.18000000000001</v>
      </c>
      <c r="C71" s="11" t="n">
        <v>93.98999999999999</v>
      </c>
      <c r="D71" s="11" t="n">
        <v>98.98999999999999</v>
      </c>
    </row>
    <row r="72">
      <c r="A72" t="n">
        <v>0</v>
      </c>
      <c r="B72" s="11" t="n">
        <v>101.92</v>
      </c>
      <c r="C72" s="11" t="n">
        <v>107.29</v>
      </c>
      <c r="D72" s="11" t="n">
        <v>112.86</v>
      </c>
    </row>
    <row r="73">
      <c r="A73" t="n">
        <v>0.5</v>
      </c>
      <c r="B73" s="11" t="n">
        <v>114.67</v>
      </c>
      <c r="C73" s="11" t="n">
        <v>120.59</v>
      </c>
      <c r="D73" s="11" t="n">
        <v>126.73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4" customWidth="1" min="4" max="4"/>
  </cols>
  <sheetData>
    <row r="1" ht="28" customHeight="1">
      <c r="A1" s="1" t="inlineStr">
        <is>
          <t>Source &amp; Lineage</t>
        </is>
      </c>
    </row>
    <row r="3">
      <c r="A3" s="2" t="inlineStr">
        <is>
          <t>Forecast information cutoff: 2026-03-11 (accession 0000027419-26-000016)</t>
        </is>
      </c>
    </row>
    <row r="5">
      <c r="A5" s="9" t="inlineStr">
        <is>
          <t>Accession</t>
        </is>
      </c>
      <c r="B5" s="9" t="inlineStr">
        <is>
          <t>Form</t>
        </is>
      </c>
      <c r="C5" s="9" t="inlineStr">
        <is>
          <t>Period of Report</t>
        </is>
      </c>
      <c r="D5" s="9" t="inlineStr">
        <is>
          <t>Filed At</t>
        </is>
      </c>
    </row>
    <row r="6">
      <c r="A6" s="20" t="inlineStr">
        <is>
          <t>0000027419-22-000007</t>
        </is>
      </c>
      <c r="B6" s="20" t="inlineStr">
        <is>
          <t>10-K</t>
        </is>
      </c>
      <c r="C6" s="20" t="inlineStr">
        <is>
          <t>2022-01-29</t>
        </is>
      </c>
      <c r="D6" s="20" t="inlineStr">
        <is>
          <t>2022-03-09</t>
        </is>
      </c>
    </row>
    <row r="7">
      <c r="A7" s="20" t="inlineStr">
        <is>
          <t>0000027419-23-000015</t>
        </is>
      </c>
      <c r="B7" s="20" t="inlineStr">
        <is>
          <t>10-K</t>
        </is>
      </c>
      <c r="C7" s="20" t="inlineStr">
        <is>
          <t>2023-01-28</t>
        </is>
      </c>
      <c r="D7" s="20" t="inlineStr">
        <is>
          <t>2023-03-08</t>
        </is>
      </c>
    </row>
    <row r="8">
      <c r="A8" s="20" t="inlineStr">
        <is>
          <t>0000027419-24-000032</t>
        </is>
      </c>
      <c r="B8" s="20" t="inlineStr">
        <is>
          <t>10-K</t>
        </is>
      </c>
      <c r="C8" s="20" t="inlineStr">
        <is>
          <t>2024-02-03</t>
        </is>
      </c>
      <c r="D8" s="20" t="inlineStr">
        <is>
          <t>2024-03-13</t>
        </is>
      </c>
    </row>
    <row r="9">
      <c r="A9" s="20" t="inlineStr">
        <is>
          <t>0000027419-25-000018</t>
        </is>
      </c>
      <c r="B9" s="20" t="inlineStr">
        <is>
          <t>10-K</t>
        </is>
      </c>
      <c r="C9" s="20" t="inlineStr">
        <is>
          <t>2025-02-01</t>
        </is>
      </c>
      <c r="D9" s="20" t="inlineStr">
        <is>
          <t>2025-03-12</t>
        </is>
      </c>
    </row>
    <row r="10">
      <c r="A10" s="20" t="inlineStr">
        <is>
          <t>0000027419-25-000101</t>
        </is>
      </c>
      <c r="B10" s="20" t="inlineStr">
        <is>
          <t>10-Q</t>
        </is>
      </c>
      <c r="C10" s="20" t="inlineStr">
        <is>
          <t>2025-05-03</t>
        </is>
      </c>
      <c r="D10" s="20" t="inlineStr">
        <is>
          <t>2025-05-30</t>
        </is>
      </c>
    </row>
    <row r="11">
      <c r="A11" s="20" t="inlineStr">
        <is>
          <t>0000027419-25-000118</t>
        </is>
      </c>
      <c r="B11" s="20" t="inlineStr">
        <is>
          <t>10-Q</t>
        </is>
      </c>
      <c r="C11" s="20" t="inlineStr">
        <is>
          <t>2025-08-02</t>
        </is>
      </c>
      <c r="D11" s="20" t="inlineStr">
        <is>
          <t>2025-08-29</t>
        </is>
      </c>
    </row>
    <row r="12">
      <c r="A12" s="20" t="inlineStr">
        <is>
          <t>0000027419-25-000126</t>
        </is>
      </c>
      <c r="B12" s="20" t="inlineStr">
        <is>
          <t>10-Q</t>
        </is>
      </c>
      <c r="C12" s="20" t="inlineStr">
        <is>
          <t>2025-11-01</t>
        </is>
      </c>
      <c r="D12" s="20" t="inlineStr">
        <is>
          <t>2025-11-26</t>
        </is>
      </c>
    </row>
    <row r="13">
      <c r="A13" s="20" t="inlineStr">
        <is>
          <t>0000027419-26-000016</t>
        </is>
      </c>
      <c r="B13" s="20" t="inlineStr">
        <is>
          <t>10-K</t>
        </is>
      </c>
      <c r="C13" s="20" t="inlineStr">
        <is>
          <t>2026-01-31</t>
        </is>
      </c>
      <c r="D13" s="20" t="inlineStr">
        <is>
          <t>2026-03-11</t>
        </is>
      </c>
    </row>
    <row r="16">
      <c r="A16" s="19" t="inlineStr">
        <is>
          <t>Lineage: every forecast fact traces to a historical annual_facts anchor, a prior forecast fact, or a forecast_assumptions row (1,533 forecast_lineage rows persisted; see docs/milestone_3_forecast_schema_proposal.md and the forecast_lineage table).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Validation Summary</t>
        </is>
      </c>
    </row>
    <row r="3">
      <c r="A3" s="2" t="inlineStr">
        <is>
          <t>Forecast Engine: 21 named checks</t>
        </is>
      </c>
    </row>
    <row r="4">
      <c r="A4" s="9" t="inlineStr">
        <is>
          <t>Check</t>
        </is>
      </c>
      <c r="B4" s="9" t="inlineStr">
        <is>
          <t>Rows</t>
        </is>
      </c>
      <c r="C4" s="9" t="inlineStr">
        <is>
          <t>PASS</t>
        </is>
      </c>
      <c r="D4" s="9" t="inlineStr">
        <is>
          <t>FAIL</t>
        </is>
      </c>
      <c r="E4" s="9" t="inlineStr">
        <is>
          <t>WARNING</t>
        </is>
      </c>
    </row>
    <row r="5">
      <c r="A5" s="20" t="inlineStr">
        <is>
          <t>assumption_completeness</t>
        </is>
      </c>
      <c r="B5" s="22" t="n">
        <v>3</v>
      </c>
      <c r="C5" s="22" t="n">
        <v>3</v>
      </c>
      <c r="D5" s="22" t="n">
        <v>0</v>
      </c>
      <c r="E5" s="22" t="n">
        <v>0</v>
      </c>
    </row>
    <row r="6">
      <c r="A6" s="20" t="inlineStr">
        <is>
          <t>capital_allocation_waterfall_reconciliation</t>
        </is>
      </c>
      <c r="B6" s="22" t="n">
        <v>15</v>
      </c>
      <c r="C6" s="22" t="n">
        <v>15</v>
      </c>
      <c r="D6" s="22" t="n">
        <v>0</v>
      </c>
      <c r="E6" s="22" t="n">
        <v>0</v>
      </c>
    </row>
    <row r="7">
      <c r="A7" s="20" t="inlineStr">
        <is>
          <t>cash_roll_forward</t>
        </is>
      </c>
      <c r="B7" s="22" t="n">
        <v>15</v>
      </c>
      <c r="C7" s="22" t="n">
        <v>15</v>
      </c>
      <c r="D7" s="22" t="n">
        <v>0</v>
      </c>
      <c r="E7" s="22" t="n">
        <v>0</v>
      </c>
    </row>
    <row r="8">
      <c r="A8" s="20" t="inlineStr">
        <is>
          <t>cfo_construction</t>
        </is>
      </c>
      <c r="B8" s="22" t="n">
        <v>15</v>
      </c>
      <c r="C8" s="22" t="n">
        <v>15</v>
      </c>
      <c r="D8" s="22" t="n">
        <v>0</v>
      </c>
      <c r="E8" s="22" t="n">
        <v>0</v>
      </c>
    </row>
    <row r="9">
      <c r="A9" s="20" t="inlineStr">
        <is>
          <t>cumulative_capacity_no_double_counting</t>
        </is>
      </c>
      <c r="B9" s="22" t="n">
        <v>3</v>
      </c>
      <c r="C9" s="22" t="n">
        <v>3</v>
      </c>
      <c r="D9" s="22" t="n">
        <v>0</v>
      </c>
      <c r="E9" s="22" t="n">
        <v>0</v>
      </c>
    </row>
    <row r="10">
      <c r="A10" s="20" t="inlineStr">
        <is>
          <t>debt_roll_forward</t>
        </is>
      </c>
      <c r="B10" s="22" t="n">
        <v>15</v>
      </c>
      <c r="C10" s="22" t="n">
        <v>15</v>
      </c>
      <c r="D10" s="22" t="n">
        <v>0</v>
      </c>
      <c r="E10" s="22" t="n">
        <v>0</v>
      </c>
    </row>
    <row r="11">
      <c r="A11" s="20" t="inlineStr">
        <is>
          <t>eps_consistency</t>
        </is>
      </c>
      <c r="B11" s="22" t="n">
        <v>15</v>
      </c>
      <c r="C11" s="22" t="n">
        <v>15</v>
      </c>
      <c r="D11" s="22" t="n">
        <v>0</v>
      </c>
      <c r="E11" s="22" t="n">
        <v>0</v>
      </c>
    </row>
    <row r="12">
      <c r="A12" s="20" t="inlineStr">
        <is>
          <t>fcf_calc</t>
        </is>
      </c>
      <c r="B12" s="22" t="n">
        <v>15</v>
      </c>
      <c r="C12" s="22" t="n">
        <v>15</v>
      </c>
      <c r="D12" s="22" t="n">
        <v>0</v>
      </c>
      <c r="E12" s="22" t="n">
        <v>0</v>
      </c>
    </row>
    <row r="13">
      <c r="A13" s="20" t="inlineStr">
        <is>
          <t>gross_profit_calc</t>
        </is>
      </c>
      <c r="B13" s="22" t="n">
        <v>15</v>
      </c>
      <c r="C13" s="22" t="n">
        <v>15</v>
      </c>
      <c r="D13" s="22" t="n">
        <v>0</v>
      </c>
      <c r="E13" s="22" t="n">
        <v>0</v>
      </c>
    </row>
    <row r="14">
      <c r="A14" s="20" t="inlineStr">
        <is>
          <t>information_cutoff_compliance</t>
        </is>
      </c>
      <c r="B14" s="22" t="n">
        <v>1</v>
      </c>
      <c r="C14" s="22" t="n">
        <v>1</v>
      </c>
      <c r="D14" s="22" t="n">
        <v>0</v>
      </c>
      <c r="E14" s="22" t="n">
        <v>0</v>
      </c>
    </row>
    <row r="15">
      <c r="A15" s="20" t="inlineStr">
        <is>
          <t>lineage_completeness</t>
        </is>
      </c>
      <c r="B15" s="22" t="n">
        <v>3</v>
      </c>
      <c r="C15" s="22" t="n">
        <v>3</v>
      </c>
      <c r="D15" s="22" t="n">
        <v>0</v>
      </c>
      <c r="E15" s="22" t="n">
        <v>0</v>
      </c>
    </row>
    <row r="16">
      <c r="A16" s="20" t="inlineStr">
        <is>
          <t>minimum_cash_compliance</t>
        </is>
      </c>
      <c r="B16" s="22" t="n">
        <v>15</v>
      </c>
      <c r="C16" s="22" t="n">
        <v>15</v>
      </c>
      <c r="D16" s="22" t="n">
        <v>0</v>
      </c>
      <c r="E16" s="22" t="n">
        <v>0</v>
      </c>
    </row>
    <row r="17">
      <c r="A17" s="20" t="inlineStr">
        <is>
          <t>no_finance_lease_double_counting</t>
        </is>
      </c>
      <c r="B17" s="22" t="n">
        <v>15</v>
      </c>
      <c r="C17" s="22" t="n">
        <v>15</v>
      </c>
      <c r="D17" s="22" t="n">
        <v>0</v>
      </c>
      <c r="E17" s="22" t="n">
        <v>0</v>
      </c>
    </row>
    <row r="18">
      <c r="A18" s="20" t="inlineStr">
        <is>
          <t>no_historical_forecast_mixing</t>
        </is>
      </c>
      <c r="B18" s="22" t="n">
        <v>1</v>
      </c>
      <c r="C18" s="22" t="n">
        <v>1</v>
      </c>
      <c r="D18" s="22" t="n">
        <v>0</v>
      </c>
      <c r="E18" s="22" t="n">
        <v>0</v>
      </c>
    </row>
    <row r="19">
      <c r="A19" s="20" t="inlineStr">
        <is>
          <t>operating_income_bridge</t>
        </is>
      </c>
      <c r="B19" s="22" t="n">
        <v>15</v>
      </c>
      <c r="C19" s="22" t="n">
        <v>15</v>
      </c>
      <c r="D19" s="22" t="n">
        <v>0</v>
      </c>
      <c r="E19" s="22" t="n">
        <v>0</v>
      </c>
    </row>
    <row r="20">
      <c r="A20" s="20" t="inlineStr">
        <is>
          <t>other_operating_cf_not_a_plug</t>
        </is>
      </c>
      <c r="B20" s="22" t="n">
        <v>3</v>
      </c>
      <c r="C20" s="22" t="n">
        <v>3</v>
      </c>
      <c r="D20" s="22" t="n">
        <v>0</v>
      </c>
      <c r="E20" s="22" t="n">
        <v>0</v>
      </c>
    </row>
    <row r="21">
      <c r="A21" s="20" t="inlineStr">
        <is>
          <t>pretax_income_bridge</t>
        </is>
      </c>
      <c r="B21" s="22" t="n">
        <v>15</v>
      </c>
      <c r="C21" s="22" t="n">
        <v>15</v>
      </c>
      <c r="D21" s="22" t="n">
        <v>0</v>
      </c>
      <c r="E21" s="22" t="n">
        <v>0</v>
      </c>
    </row>
    <row r="22">
      <c r="A22" s="20" t="inlineStr">
        <is>
          <t>revenue_recursion</t>
        </is>
      </c>
      <c r="B22" s="22" t="n">
        <v>15</v>
      </c>
      <c r="C22" s="22" t="n">
        <v>15</v>
      </c>
      <c r="D22" s="22" t="n">
        <v>0</v>
      </c>
      <c r="E22" s="22" t="n">
        <v>0</v>
      </c>
    </row>
    <row r="23">
      <c r="A23" s="20" t="inlineStr">
        <is>
          <t>scenario_ordering</t>
        </is>
      </c>
      <c r="B23" s="22" t="n">
        <v>5</v>
      </c>
      <c r="C23" s="22" t="n">
        <v>5</v>
      </c>
      <c r="D23" s="22" t="n">
        <v>0</v>
      </c>
      <c r="E23" s="22" t="n">
        <v>0</v>
      </c>
    </row>
    <row r="24">
      <c r="A24" s="20" t="inlineStr">
        <is>
          <t>tax_net_income_bridge</t>
        </is>
      </c>
      <c r="B24" s="22" t="n">
        <v>15</v>
      </c>
      <c r="C24" s="22" t="n">
        <v>15</v>
      </c>
      <c r="D24" s="22" t="n">
        <v>0</v>
      </c>
      <c r="E24" s="22" t="n">
        <v>0</v>
      </c>
    </row>
    <row r="25">
      <c r="A25" s="20" t="inlineStr">
        <is>
          <t>working_capital_sign_checks</t>
        </is>
      </c>
      <c r="B25" s="22" t="n">
        <v>15</v>
      </c>
      <c r="C25" s="22" t="n">
        <v>15</v>
      </c>
      <c r="D25" s="22" t="n">
        <v>0</v>
      </c>
      <c r="E25" s="22" t="n">
        <v>0</v>
      </c>
    </row>
    <row r="27">
      <c r="A27" s="2" t="inlineStr">
        <is>
          <t>TOTAL: 229 results, 0 failures</t>
        </is>
      </c>
    </row>
    <row r="29">
      <c r="A29" s="2" t="inlineStr">
        <is>
          <t>DCF Valuation: 6 named checks</t>
        </is>
      </c>
    </row>
    <row r="30">
      <c r="A30" s="9" t="inlineStr">
        <is>
          <t>Check</t>
        </is>
      </c>
      <c r="B30" s="9" t="inlineStr">
        <is>
          <t>Rows</t>
        </is>
      </c>
      <c r="C30" s="9" t="inlineStr">
        <is>
          <t>PASS</t>
        </is>
      </c>
      <c r="D30" s="9" t="inlineStr">
        <is>
          <t>FAIL</t>
        </is>
      </c>
    </row>
    <row r="31">
      <c r="A31" s="20" t="inlineStr">
        <is>
          <t>ufcf_reconciles_to_levered_fcf</t>
        </is>
      </c>
      <c r="B31" s="22" t="n">
        <v>15</v>
      </c>
      <c r="C31" s="22" t="n">
        <v>15</v>
      </c>
      <c r="D31" s="22" t="n">
        <v>0</v>
      </c>
    </row>
    <row r="32">
      <c r="A32" s="20" t="inlineStr">
        <is>
          <t>terminal_value_period_consistency</t>
        </is>
      </c>
      <c r="B32" s="22" t="n">
        <v>3</v>
      </c>
      <c r="C32" s="22" t="n">
        <v>3</v>
      </c>
      <c r="D32" s="22" t="n">
        <v>0</v>
      </c>
    </row>
    <row r="33">
      <c r="A33" s="20" t="inlineStr">
        <is>
          <t>no_debt_or_lease_double_counting</t>
        </is>
      </c>
      <c r="B33" s="22" t="n">
        <v>3</v>
      </c>
      <c r="C33" s="22" t="n">
        <v>3</v>
      </c>
      <c r="D33" s="22" t="n">
        <v>0</v>
      </c>
    </row>
    <row r="34">
      <c r="A34" s="20" t="inlineStr">
        <is>
          <t>valuation_date_consistency</t>
        </is>
      </c>
      <c r="B34" s="22" t="n">
        <v>3</v>
      </c>
      <c r="C34" s="22" t="n">
        <v>3</v>
      </c>
      <c r="D34" s="22" t="n">
        <v>0</v>
      </c>
    </row>
    <row r="35">
      <c r="A35" s="20" t="inlineStr">
        <is>
          <t>wacc_exceeds_terminal_growth</t>
        </is>
      </c>
      <c r="B35" s="22" t="n">
        <v>3</v>
      </c>
      <c r="C35" s="22" t="n">
        <v>3</v>
      </c>
      <c r="D35" s="22" t="n">
        <v>0</v>
      </c>
    </row>
    <row r="36">
      <c r="A36" s="20" t="inlineStr">
        <is>
          <t>wacc_and_terminal_growth_scenario_invariant</t>
        </is>
      </c>
      <c r="B36" s="22" t="n">
        <v>1</v>
      </c>
      <c r="C36" s="22" t="n">
        <v>1</v>
      </c>
      <c r="D36" s="22" t="n">
        <v>0</v>
      </c>
    </row>
    <row r="38">
      <c r="A38" s="2" t="inlineStr">
        <is>
          <t>TOTAL: 28 results, 0 failures</t>
        </is>
      </c>
    </row>
    <row r="40">
      <c r="A40" s="2" t="inlineStr">
        <is>
          <t>Corrected Capacity Taxonomy (Milestone 9 v2 correction): 19 named checks</t>
        </is>
      </c>
    </row>
    <row r="41">
      <c r="A41" s="9" t="inlineStr">
        <is>
          <t>Check</t>
        </is>
      </c>
      <c r="B41" s="9" t="inlineStr">
        <is>
          <t>Rows</t>
        </is>
      </c>
      <c r="C41" s="9" t="inlineStr">
        <is>
          <t>PASS</t>
        </is>
      </c>
      <c r="D41" s="9" t="inlineStr">
        <is>
          <t>FAIL</t>
        </is>
      </c>
      <c r="E41" s="9" t="inlineStr">
        <is>
          <t>WARNING</t>
        </is>
      </c>
    </row>
    <row r="42">
      <c r="A42" s="20" t="inlineStr">
        <is>
          <t>annual_source_use_reconciliation</t>
        </is>
      </c>
      <c r="B42" s="22" t="n">
        <v>15</v>
      </c>
      <c r="C42" s="22" t="n">
        <v>15</v>
      </c>
      <c r="D42" s="22" t="n">
        <v>0</v>
      </c>
      <c r="E42" s="22" t="n">
        <v>0</v>
      </c>
    </row>
    <row r="43">
      <c r="A43" s="20" t="inlineStr">
        <is>
          <t>capacity_accounted_for_reconciliation</t>
        </is>
      </c>
      <c r="B43" s="22" t="n">
        <v>3</v>
      </c>
      <c r="C43" s="22" t="n">
        <v>3</v>
      </c>
      <c r="D43" s="22" t="n">
        <v>0</v>
      </c>
      <c r="E43" s="22" t="n">
        <v>0</v>
      </c>
    </row>
    <row r="44">
      <c r="A44" s="20" t="inlineStr">
        <is>
          <t>capacity_mutually_exclusive</t>
        </is>
      </c>
      <c r="B44" s="22" t="n">
        <v>15</v>
      </c>
      <c r="C44" s="22" t="n">
        <v>15</v>
      </c>
      <c r="D44" s="22" t="n">
        <v>0</v>
      </c>
      <c r="E44" s="22" t="n">
        <v>0</v>
      </c>
    </row>
    <row r="45">
      <c r="A45" s="20" t="inlineStr">
        <is>
          <t>cumulative_deployment_includes_repurchases</t>
        </is>
      </c>
      <c r="B45" s="22" t="n">
        <v>3</v>
      </c>
      <c r="C45" s="22" t="n">
        <v>3</v>
      </c>
      <c r="D45" s="22" t="n">
        <v>0</v>
      </c>
      <c r="E45" s="22" t="n">
        <v>0</v>
      </c>
    </row>
    <row r="46">
      <c r="A46" s="20" t="inlineStr">
        <is>
          <t>cumulative_excludes_repeated_balances</t>
        </is>
      </c>
      <c r="B46" s="22" t="n">
        <v>3</v>
      </c>
      <c r="C46" s="22" t="n">
        <v>3</v>
      </c>
      <c r="D46" s="22" t="n">
        <v>0</v>
      </c>
      <c r="E46" s="22" t="n">
        <v>0</v>
      </c>
    </row>
    <row r="47">
      <c r="A47" s="20" t="inlineStr">
        <is>
          <t>debt_funded_capacity_excludes_gross_issuance</t>
        </is>
      </c>
      <c r="B47" s="22" t="n">
        <v>15</v>
      </c>
      <c r="C47" s="22" t="n">
        <v>15</v>
      </c>
      <c r="D47" s="22" t="n">
        <v>0</v>
      </c>
      <c r="E47" s="22" t="n">
        <v>0</v>
      </c>
    </row>
    <row r="48">
      <c r="A48" s="20" t="inlineStr">
        <is>
          <t>debt_netting_mutually_exclusive</t>
        </is>
      </c>
      <c r="B48" s="22" t="n">
        <v>15</v>
      </c>
      <c r="C48" s="22" t="n">
        <v>15</v>
      </c>
      <c r="D48" s="22" t="n">
        <v>0</v>
      </c>
      <c r="E48" s="22" t="n">
        <v>0</v>
      </c>
    </row>
    <row r="49">
      <c r="A49" s="20" t="inlineStr">
        <is>
          <t>ending_cash_above_buffer_or_flagged</t>
        </is>
      </c>
      <c r="B49" s="22" t="n">
        <v>15</v>
      </c>
      <c r="C49" s="22" t="n">
        <v>15</v>
      </c>
      <c r="D49" s="22" t="n">
        <v>0</v>
      </c>
      <c r="E49" s="22" t="n">
        <v>0</v>
      </c>
    </row>
    <row r="50">
      <c r="A50" s="20" t="inlineStr">
        <is>
          <t>forward_reserve_terminal_proxy_documented</t>
        </is>
      </c>
      <c r="B50" s="22" t="n">
        <v>3</v>
      </c>
      <c r="C50" s="22" t="n">
        <v>3</v>
      </c>
      <c r="D50" s="22" t="n">
        <v>0</v>
      </c>
      <c r="E50" s="22" t="n">
        <v>0</v>
      </c>
    </row>
    <row r="51">
      <c r="A51" s="20" t="inlineStr">
        <is>
          <t>headroom_deducts_forward_reserve</t>
        </is>
      </c>
      <c r="B51" s="22" t="n">
        <v>15</v>
      </c>
      <c r="C51" s="22" t="n">
        <v>15</v>
      </c>
      <c r="D51" s="22" t="n">
        <v>0</v>
      </c>
      <c r="E51" s="22" t="n">
        <v>0</v>
      </c>
    </row>
    <row r="52">
      <c r="A52" s="20" t="inlineStr">
        <is>
          <t>headroom_never_negative</t>
        </is>
      </c>
      <c r="B52" s="22" t="n">
        <v>15</v>
      </c>
      <c r="C52" s="22" t="n">
        <v>15</v>
      </c>
      <c r="D52" s="22" t="n">
        <v>0</v>
      </c>
      <c r="E52" s="22" t="n">
        <v>0</v>
      </c>
    </row>
    <row r="53">
      <c r="A53" s="20" t="inlineStr">
        <is>
          <t>mandatory_debt_not_double_deducted</t>
        </is>
      </c>
      <c r="B53" s="22" t="n">
        <v>15</v>
      </c>
      <c r="C53" s="22" t="n">
        <v>15</v>
      </c>
      <c r="D53" s="22" t="n">
        <v>0</v>
      </c>
      <c r="E53" s="22" t="n">
        <v>0</v>
      </c>
    </row>
    <row r="54">
      <c r="A54" s="20" t="inlineStr">
        <is>
          <t>net_horizon_capacity_reconciles</t>
        </is>
      </c>
      <c r="B54" s="22" t="n">
        <v>3</v>
      </c>
      <c r="C54" s="22" t="n">
        <v>3</v>
      </c>
      <c r="D54" s="22" t="n">
        <v>0</v>
      </c>
      <c r="E54" s="22" t="n">
        <v>0</v>
      </c>
    </row>
    <row r="55">
      <c r="A55" s="20" t="inlineStr">
        <is>
          <t>opening_excess_liquidity_excluded_from_generation</t>
        </is>
      </c>
      <c r="B55" s="22" t="n">
        <v>3</v>
      </c>
      <c r="C55" s="22" t="n">
        <v>3</v>
      </c>
      <c r="D55" s="22" t="n">
        <v>0</v>
      </c>
      <c r="E55" s="22" t="n">
        <v>0</v>
      </c>
    </row>
    <row r="56">
      <c r="A56" s="20" t="inlineStr">
        <is>
          <t>operating_fcf_reconciles</t>
        </is>
      </c>
      <c r="B56" s="22" t="n">
        <v>15</v>
      </c>
      <c r="C56" s="22" t="n">
        <v>15</v>
      </c>
      <c r="D56" s="22" t="n">
        <v>0</v>
      </c>
      <c r="E56" s="22" t="n">
        <v>0</v>
      </c>
    </row>
    <row r="57">
      <c r="A57" s="20" t="inlineStr">
        <is>
          <t>post_dividend_generation_reconciles</t>
        </is>
      </c>
      <c r="B57" s="22" t="n">
        <v>15</v>
      </c>
      <c r="C57" s="22" t="n">
        <v>15</v>
      </c>
      <c r="D57" s="22" t="n">
        <v>0</v>
      </c>
      <c r="E57" s="22" t="n">
        <v>0</v>
      </c>
    </row>
    <row r="58">
      <c r="A58" s="20" t="inlineStr">
        <is>
          <t>repurchases_in_discretionary_deployment</t>
        </is>
      </c>
      <c r="B58" s="22" t="n">
        <v>15</v>
      </c>
      <c r="C58" s="22" t="n">
        <v>15</v>
      </c>
      <c r="D58" s="22" t="n">
        <v>0</v>
      </c>
      <c r="E58" s="22" t="n">
        <v>0</v>
      </c>
    </row>
    <row r="59">
      <c r="A59" s="20" t="inlineStr">
        <is>
          <t>scenario_and_cutoff_lineage_complete</t>
        </is>
      </c>
      <c r="B59" s="22" t="n">
        <v>15</v>
      </c>
      <c r="C59" s="22" t="n">
        <v>15</v>
      </c>
      <c r="D59" s="22" t="n">
        <v>0</v>
      </c>
      <c r="E59" s="22" t="n">
        <v>0</v>
      </c>
    </row>
    <row r="60">
      <c r="A60" s="20" t="inlineStr">
        <is>
          <t>self_funded_generation_excludes_opening_liquidity</t>
        </is>
      </c>
      <c r="B60" s="22" t="n">
        <v>15</v>
      </c>
      <c r="C60" s="22" t="n">
        <v>15</v>
      </c>
      <c r="D60" s="22" t="n">
        <v>0</v>
      </c>
      <c r="E60" s="22" t="n">
        <v>0</v>
      </c>
    </row>
    <row r="62">
      <c r="A62" s="2" t="inlineStr">
        <is>
          <t>TOTAL: 213 results, 0 failures (7 further structural/definitional proofs live in tests/unit/test_capacity_taxonomy.py)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Limitations</t>
        </is>
      </c>
    </row>
    <row r="3" ht="30" customHeight="1">
      <c r="A3" s="16" t="inlineStr">
        <is>
          <t>- investing_cash_flow is modeled as exactly -CapEx; no driver exists for other historical investing items.</t>
        </is>
      </c>
    </row>
    <row r="4" ht="30" customHeight="1">
      <c r="A4" s="16" t="inlineStr">
        <is>
          <t>- No FX translation effect is modeled (implicitly zero).</t>
        </is>
      </c>
    </row>
    <row r="5" ht="30" customHeight="1">
      <c r="A5" s="16" t="inlineStr">
        <is>
          <t>- The near-term debt repayment reserve is proxied by each year's own fixed repayment assumption -- no disclosed maturity ladder exists.</t>
        </is>
      </c>
    </row>
    <row r="6" ht="30" customHeight="1">
      <c r="A6" s="16" t="inlineStr">
        <is>
          <t>- 'Other operating cash adjustments' is a single flat scenario assumption, not decomposed into stock-comp/deferred-tax/other sub-components.</t>
        </is>
      </c>
    </row>
    <row r="7" ht="30" customHeight="1">
      <c r="A7" s="16" t="inlineStr">
        <is>
          <t>- The seasonality stress overlay is grounded in exactly ONE year of real quarterly evidence (FY2025).</t>
        </is>
      </c>
    </row>
    <row r="8" ht="30" customHeight="1">
      <c r="A8" s="16" t="inlineStr">
        <is>
          <t>- The minimum-cash-buffer comparison evaluates 5 policies but endorses none as final.</t>
        </is>
      </c>
    </row>
    <row r="9" ht="30" customHeight="1">
      <c r="A9" s="16" t="inlineStr">
        <is>
          <t>- DCF WACC components (risk-free rate, equity risk premium, beta) are illustrative, general-market inputs -- no live market-data source is in the registered source set.</t>
        </is>
      </c>
    </row>
    <row r="10" ht="30" customHeight="1">
      <c r="A10" s="16" t="inlineStr">
        <is>
          <t>- DCF capital-structure weights are a target/policy split, not a market-value weight (which would require the market value of equity -- circular with the equity value being estimated).</t>
        </is>
      </c>
    </row>
    <row r="11" ht="30" customHeight="1">
      <c r="A11" s="16" t="inlineStr">
        <is>
          <t>- This workbook is a scenario-based model, NOT investment advice, a price target, or a prediction of Target's actual future results or stock price.</t>
        </is>
      </c>
    </row>
    <row r="12" ht="30" customHeight="1">
      <c r="A12" s="16" t="inlineStr">
        <is>
          <t>- CapEx is modeled as a % of revenue with no maintenance-vs-growth split, since Target discloses no such split.</t>
        </is>
      </c>
    </row>
    <row r="13" ht="30" customHeight="1">
      <c r="A13" s="16" t="inlineStr">
        <is>
          <t>- Dividends are modeled via a $/share growth proxy, not a disclosed per-share dividend policy statement.</t>
        </is>
      </c>
    </row>
    <row r="14" ht="30" customHeight="1">
      <c r="A14" s="16" t="inlineStr">
        <is>
          <t>- No information after the FY2025 10-K cutoff (2026-03-11) is used anywhere in this workbook.</t>
        </is>
      </c>
    </row>
    <row r="15" ht="30" customHeight="1">
      <c r="A15" s="16" t="inlineStr">
        <is>
          <t>- Milestone 9 correction: the original 'DEPLOYABLE CAPACITY' headline (Sheet 9) was found to be arithmetically correct but economically ambiguous -- a gross, pre-discretionary ceiling that never subtracted that year's own repurchases. It is preserved, relabeled and deprecated, on Sheet 9 for backward compatibility; the corrected taxonomy (Self-Funded / Debt-Funded / Discretionary Deployment / Remaining Deployable Headroom) on Sheets 2 and 9 is now the executive-facing figure. See docs/investment_capacity_semantic_audit.md and docs/investment_capacity_correction_evidence.md.</t>
        </is>
      </c>
    </row>
    <row r="16" ht="30" customHeight="1">
      <c r="A16" s="16" t="inlineStr">
        <is>
          <t>- strategic_investment, voluntary_debt_reduction, and other_discretionary_uses in the corrected taxonomy are structural $0 placeholders -- no policy lever for them has been modeled this round, following the same convention already established for management_selected_deployment.</t>
        </is>
      </c>
    </row>
    <row r="17" ht="30" customHeight="1">
      <c r="A17" s="16" t="inlineStr">
        <is>
          <t>- v2 finance-semantics correction: debt_funded_incremental_capacity previously equaled gross debt proceeds, mislabeling capacity even when the same cash was simultaneously repaid. It is now the NET of proceeds over repayments; the offsetting net_mandatory_debt_service is subtracted from self_funded_capacity_generated, which now excludes opening_excess_liquidity entirely (a stock is never labeled 'generated'). Remaining Deployable Headroom now also deducts a forward debt-repayment reserve, proxied for the terminal FY2030 year since FY2031 is outside the forecast horizon. See docs/investment_capacity_correction_evidence.md.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2026-09-16T22:55:52Z</dcterms:created>
  <dcterms:modified xsi:type="dcterms:W3CDTF">2026-09-16T22:55:52Z</dcterms:modified>
</cp:coreProperties>
</file>